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tali Kalburgi\OneDrive\Desktop\Bitsom Notes\Assignments\Final Capstone Project\part2_kpi_experiment\part2_kpi_experiment\analysis\"/>
    </mc:Choice>
  </mc:AlternateContent>
  <xr:revisionPtr revIDLastSave="0" documentId="13_ncr:1_{A65DA119-3039-4682-A107-2A893CA978F5}" xr6:coauthVersionLast="47" xr6:coauthVersionMax="47" xr10:uidLastSave="{00000000-0000-0000-0000-000000000000}"/>
  <bookViews>
    <workbookView minimized="1" xWindow="2880" yWindow="2880" windowWidth="16800" windowHeight="9670" xr2:uid="{00000000-000D-0000-FFFF-FFFF00000000}"/>
  </bookViews>
  <sheets>
    <sheet name="experiment_data" sheetId="1" r:id="rId1"/>
    <sheet name="summary" sheetId="2" r:id="rId2"/>
    <sheet name="hypothesis_test" sheetId="3" r:id="rId3"/>
  </sheets>
  <externalReferences>
    <externalReference r:id="rId4"/>
  </externalReferences>
  <definedNames>
    <definedName name="_xlnm._FilterDatabase" localSheetId="0" hidden="1">experiment_data!$A$1:$R$1401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" i="2" l="1"/>
  <c r="L25" i="2"/>
  <c r="M24" i="2"/>
  <c r="L24" i="2"/>
  <c r="C24" i="2"/>
  <c r="B24" i="2"/>
  <c r="R23" i="2"/>
  <c r="Q23" i="2"/>
  <c r="M23" i="2"/>
  <c r="L23" i="2"/>
  <c r="H23" i="2"/>
  <c r="G23" i="2"/>
  <c r="C23" i="2"/>
  <c r="B23" i="2"/>
  <c r="R22" i="2"/>
  <c r="Q22" i="2"/>
  <c r="M22" i="2"/>
  <c r="L22" i="2"/>
  <c r="H22" i="2"/>
  <c r="G22" i="2"/>
  <c r="C22" i="2"/>
  <c r="B22" i="2"/>
  <c r="R21" i="2"/>
  <c r="Q21" i="2"/>
  <c r="M21" i="2"/>
  <c r="L21" i="2"/>
  <c r="H21" i="2"/>
  <c r="G21" i="2"/>
  <c r="C21" i="2"/>
  <c r="B21" i="2"/>
  <c r="C14" i="2"/>
  <c r="B14" i="2"/>
  <c r="C13" i="2"/>
  <c r="B13" i="2"/>
  <c r="C10" i="2"/>
  <c r="B10" i="2"/>
  <c r="B5" i="2"/>
  <c r="C4" i="2"/>
  <c r="B4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2" i="1"/>
  <c r="C12" i="2" l="1"/>
  <c r="B12" i="2"/>
  <c r="C11" i="2"/>
  <c r="B11" i="2"/>
  <c r="C9" i="2"/>
  <c r="B9" i="2"/>
  <c r="C8" i="2"/>
  <c r="B8" i="2"/>
  <c r="C7" i="2"/>
  <c r="B7" i="2"/>
  <c r="C6" i="2"/>
  <c r="B6" i="2"/>
  <c r="C5" i="2"/>
</calcChain>
</file>

<file path=xl/sharedStrings.xml><?xml version="1.0" encoding="utf-8"?>
<sst xmlns="http://schemas.openxmlformats.org/spreadsheetml/2006/main" count="8479" uniqueCount="1470">
  <si>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</si>
  <si>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</si>
  <si>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</si>
  <si>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</si>
  <si>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</si>
  <si>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</si>
  <si>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</si>
  <si>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</si>
  <si>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</si>
  <si>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</si>
  <si>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</si>
  <si>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</si>
  <si>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</si>
  <si>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</si>
  <si>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</si>
  <si>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</si>
  <si>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</si>
  <si>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</si>
  <si>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</si>
  <si>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</si>
  <si>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</si>
  <si>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</si>
  <si>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</si>
  <si>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</si>
  <si>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</si>
  <si>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</si>
  <si>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</si>
  <si>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</si>
  <si>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</si>
  <si>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</si>
  <si>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</si>
  <si>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</si>
  <si>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</si>
  <si>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</si>
  <si>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</si>
  <si>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</si>
  <si>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</si>
  <si>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</si>
  <si>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</si>
  <si>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</si>
  <si>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</si>
  <si>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</si>
  <si>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</si>
  <si>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</si>
  <si>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</si>
  <si>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</si>
  <si>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</si>
  <si>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</si>
  <si>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</si>
  <si>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</si>
  <si>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</si>
  <si>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</si>
  <si>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</si>
  <si>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</si>
  <si>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</si>
  <si>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</si>
  <si>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</si>
  <si>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</si>
  <si>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</si>
  <si>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</si>
  <si>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</si>
  <si>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</si>
  <si>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</si>
  <si>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</si>
  <si>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</si>
  <si>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</si>
  <si>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</si>
  <si>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</si>
  <si>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</si>
  <si>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</si>
  <si>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</si>
  <si>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</si>
  <si>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</si>
  <si>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</si>
  <si>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</si>
  <si>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</si>
  <si>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</si>
  <si>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</si>
  <si>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</si>
  <si>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</si>
  <si>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</si>
  <si>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</si>
  <si>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</si>
  <si>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</si>
  <si>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</si>
  <si>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</si>
  <si>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</si>
  <si>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</si>
  <si>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</si>
  <si>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</si>
  <si>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</si>
  <si>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</si>
  <si>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</si>
  <si>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</si>
  <si>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</si>
  <si>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</si>
  <si>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</si>
  <si>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</si>
  <si>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</si>
  <si>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</si>
  <si>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</si>
  <si>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</si>
  <si>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</si>
  <si>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</si>
  <si>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</si>
  <si>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</si>
  <si>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</si>
  <si>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</si>
  <si>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</si>
  <si>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</si>
  <si>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</si>
  <si>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</si>
  <si>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</si>
  <si>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</si>
  <si>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</si>
  <si>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</si>
  <si>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</si>
  <si>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</si>
  <si>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</si>
  <si>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</si>
  <si>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</si>
  <si>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</si>
  <si>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</si>
  <si>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</si>
  <si>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</si>
  <si>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</si>
  <si>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</si>
  <si>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</si>
  <si>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</si>
  <si>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</si>
  <si>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</si>
  <si>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</si>
  <si>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</si>
  <si>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</si>
  <si>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</si>
  <si>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</si>
  <si>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</si>
  <si>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</si>
  <si>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</si>
  <si>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</si>
  <si>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</si>
  <si>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</si>
  <si>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</si>
  <si>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</si>
  <si>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</si>
  <si>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</si>
  <si>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</si>
  <si>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</si>
  <si>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</si>
  <si>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</si>
  <si>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</si>
  <si>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</si>
  <si>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</si>
  <si>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</si>
  <si>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</si>
  <si>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</si>
  <si>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</si>
  <si>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</si>
  <si>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</si>
  <si>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</si>
  <si>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</si>
  <si>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</si>
  <si>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</si>
  <si>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</si>
  <si>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</si>
  <si>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</si>
  <si>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</si>
  <si>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</si>
  <si>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</si>
  <si>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</si>
  <si>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</si>
  <si>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</si>
  <si>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</si>
  <si>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</si>
  <si>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</si>
  <si>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</si>
  <si>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</si>
  <si>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</si>
  <si>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</si>
  <si>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</si>
  <si>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</si>
  <si>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</si>
  <si>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</si>
  <si>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</si>
  <si>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</si>
  <si>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</si>
  <si>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</si>
  <si>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</si>
  <si>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</si>
  <si>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</si>
  <si>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</si>
  <si>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</si>
  <si>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</si>
  <si>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</si>
  <si>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</si>
  <si>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</si>
  <si>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</si>
  <si>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</si>
  <si>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</si>
  <si>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</si>
  <si>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</si>
  <si>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</si>
  <si>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</si>
  <si>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</si>
  <si>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</si>
  <si>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</si>
  <si>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</si>
  <si>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</si>
  <si>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</si>
  <si>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</si>
  <si>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</si>
  <si>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</si>
  <si>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</si>
  <si>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</si>
  <si>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</si>
  <si>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</si>
  <si>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</si>
  <si>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</si>
  <si>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</si>
  <si>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</si>
  <si>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</si>
  <si>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</si>
  <si>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</si>
  <si>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</si>
  <si>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</si>
  <si>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</si>
  <si>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</si>
  <si>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</si>
  <si>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</si>
  <si>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</si>
  <si>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</si>
  <si>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</si>
  <si>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</si>
  <si>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</si>
  <si>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</si>
  <si>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</si>
  <si>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</si>
  <si>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</si>
  <si>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</si>
  <si>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</si>
  <si>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</si>
  <si>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</si>
  <si>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</si>
  <si>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</si>
  <si>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</si>
  <si>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</si>
  <si>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</si>
  <si>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</si>
  <si>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</si>
  <si>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</si>
  <si>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</si>
  <si>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</si>
  <si>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</si>
  <si>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</si>
  <si>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</si>
  <si>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</si>
  <si>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</si>
  <si>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</si>
  <si>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</si>
  <si>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</si>
  <si>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</si>
  <si>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</si>
  <si>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</si>
  <si>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</si>
  <si>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</si>
  <si>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</si>
  <si>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</si>
  <si>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</si>
  <si>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</si>
  <si>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</si>
  <si>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</si>
  <si>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</si>
  <si>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</si>
  <si>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</si>
  <si>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</si>
  <si>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</si>
  <si>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</si>
  <si>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</si>
  <si>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</si>
  <si>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</si>
  <si>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</si>
  <si>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</si>
  <si>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</si>
  <si>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</si>
  <si>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</si>
  <si>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</si>
  <si>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</si>
  <si>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</si>
  <si>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</si>
  <si>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</si>
  <si>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</si>
  <si>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</si>
  <si>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</si>
  <si>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</si>
  <si>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</si>
  <si>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</si>
  <si>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</si>
  <si>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</si>
  <si>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</si>
  <si>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</si>
  <si>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</si>
  <si>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</si>
  <si>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</si>
  <si>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</si>
  <si>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</si>
  <si>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</si>
  <si>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</si>
  <si>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</si>
  <si>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</si>
  <si>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</si>
  <si>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</si>
  <si>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</si>
  <si>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</si>
  <si>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</si>
  <si>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</si>
  <si>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</si>
  <si>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</si>
  <si>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</si>
  <si>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</si>
  <si>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</si>
  <si>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</si>
  <si>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</si>
  <si>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</si>
  <si>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</si>
  <si>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</si>
  <si>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</si>
  <si>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</si>
  <si>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</si>
  <si>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</si>
  <si>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</si>
  <si>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</si>
  <si>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</si>
  <si>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</si>
  <si>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</si>
  <si>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</si>
  <si>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</si>
  <si>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</si>
  <si>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</si>
  <si>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</si>
  <si>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</si>
  <si>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</si>
  <si>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</si>
  <si>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</si>
  <si>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</si>
  <si>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</si>
  <si>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</si>
  <si>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</si>
  <si>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</si>
  <si>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</si>
  <si>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</si>
  <si>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</si>
  <si>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</si>
  <si>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</si>
  <si>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</si>
  <si>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</si>
  <si>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</si>
  <si>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</si>
  <si>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</si>
  <si>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</si>
  <si>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</si>
  <si>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</si>
  <si>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</si>
  <si>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</si>
  <si>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</si>
  <si>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</si>
  <si>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</si>
  <si>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</si>
  <si>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</si>
  <si>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</si>
  <si>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</si>
  <si>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</si>
  <si>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</si>
  <si>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</si>
  <si>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</si>
  <si>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</si>
  <si>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</si>
  <si>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</si>
  <si>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</si>
  <si>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</si>
  <si>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</si>
  <si>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</si>
  <si>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</si>
  <si>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</si>
  <si>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</si>
  <si>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</si>
  <si>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</si>
  <si>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</si>
  <si>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</si>
  <si>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</si>
  <si>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</si>
  <si>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</si>
  <si>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</si>
  <si>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</si>
  <si>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</si>
  <si>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</si>
  <si>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</si>
  <si>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</si>
  <si>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</si>
  <si>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</si>
  <si>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</si>
  <si>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</si>
  <si>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</si>
  <si>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</si>
  <si>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</si>
  <si>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</si>
  <si>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</si>
  <si>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</si>
  <si>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</si>
  <si>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</si>
  <si>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</si>
  <si>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</si>
  <si>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</si>
  <si>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</si>
  <si>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</si>
  <si>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</si>
  <si>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</si>
  <si>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</si>
  <si>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</si>
  <si>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</si>
  <si>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</si>
  <si>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</si>
  <si>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</si>
  <si>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</si>
  <si>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</si>
  <si>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</si>
  <si>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</si>
  <si>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</si>
  <si>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</si>
  <si>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</si>
  <si>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</si>
  <si>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</si>
  <si>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</si>
  <si>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</si>
  <si>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</si>
  <si>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</si>
  <si>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</si>
  <si>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</si>
  <si>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</si>
  <si>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</si>
  <si>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</si>
  <si>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</si>
  <si>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</si>
  <si>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</si>
  <si>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</si>
  <si>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</si>
  <si>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</si>
  <si>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</si>
  <si>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</si>
  <si>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</si>
  <si>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</si>
  <si>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</si>
  <si>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</si>
  <si>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</si>
  <si>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</si>
  <si>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</si>
  <si>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</si>
  <si>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</si>
  <si>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</si>
  <si>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</si>
  <si>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</si>
  <si>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</si>
  <si>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</si>
  <si>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</si>
  <si>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</si>
  <si>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</si>
  <si>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</si>
  <si>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</si>
  <si>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</si>
  <si>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</si>
  <si>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</si>
  <si>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</si>
  <si>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</si>
  <si>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</si>
  <si>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</si>
  <si>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</si>
  <si>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</si>
  <si>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</si>
  <si>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</si>
  <si>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</si>
  <si>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</si>
  <si>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</si>
  <si>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</si>
  <si>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</si>
  <si>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</si>
  <si>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</si>
  <si>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</si>
  <si>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</si>
  <si>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</si>
  <si>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</si>
  <si>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</si>
  <si>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</si>
  <si>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</si>
  <si>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</si>
  <si>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</si>
  <si>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</si>
  <si>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</si>
  <si>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</si>
  <si>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</si>
  <si>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</si>
  <si>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</si>
  <si>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</si>
  <si>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</si>
  <si>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</si>
  <si>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</si>
  <si>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</si>
  <si>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</si>
  <si>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</si>
  <si>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</si>
  <si>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</si>
  <si>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</si>
  <si>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</si>
  <si>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</si>
  <si>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</si>
  <si>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</si>
  <si>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</si>
  <si>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</si>
  <si>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</si>
  <si>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</si>
  <si>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</si>
  <si>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</si>
  <si>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</si>
  <si>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</si>
  <si>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</si>
  <si>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</si>
  <si>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</si>
  <si>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</si>
  <si>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</si>
  <si>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</si>
  <si>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</si>
  <si>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</si>
  <si>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</si>
  <si>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</si>
  <si>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</si>
  <si>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</si>
  <si>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</si>
  <si>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</si>
  <si>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</si>
  <si>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</si>
  <si>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</si>
  <si>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</si>
  <si>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</si>
  <si>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</si>
  <si>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</si>
  <si>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</si>
  <si>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</si>
  <si>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</si>
  <si>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</si>
  <si>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</si>
  <si>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</si>
  <si>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</si>
  <si>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</si>
  <si>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</si>
  <si>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</si>
  <si>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</si>
  <si>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</si>
  <si>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</si>
  <si>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</si>
  <si>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</si>
  <si>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</si>
  <si>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</si>
  <si>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</si>
  <si>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</si>
  <si>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</si>
  <si>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</si>
  <si>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</si>
  <si>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</si>
  <si>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</si>
  <si>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</si>
  <si>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</si>
  <si>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</si>
  <si>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</si>
  <si>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</si>
  <si>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</si>
  <si>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</si>
  <si>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</si>
  <si>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</si>
  <si>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</si>
  <si>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</si>
  <si>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</si>
  <si>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</si>
  <si>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</si>
  <si>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</si>
  <si>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</si>
  <si>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</si>
  <si>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</si>
  <si>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</si>
  <si>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</si>
  <si>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</si>
  <si>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</si>
  <si>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</si>
  <si>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</si>
  <si>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</si>
  <si>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</si>
  <si>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</si>
  <si>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</si>
  <si>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</si>
  <si>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</si>
  <si>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</si>
  <si>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</si>
  <si>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</si>
  <si>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</si>
  <si>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</si>
  <si>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</si>
  <si>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</si>
  <si>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</si>
  <si>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</si>
  <si>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</si>
  <si>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</si>
  <si>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</si>
  <si>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</si>
  <si>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</si>
  <si>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</si>
  <si>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</si>
  <si>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</si>
  <si>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</si>
  <si>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</si>
  <si>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</si>
  <si>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</si>
  <si>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</si>
  <si>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</si>
  <si>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</si>
  <si>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</si>
  <si>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</si>
  <si>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</si>
  <si>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</si>
  <si>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</si>
  <si>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</si>
  <si>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</si>
  <si>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</si>
  <si>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</si>
  <si>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</si>
  <si>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</si>
  <si>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</si>
  <si>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</si>
  <si>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</si>
  <si>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</si>
  <si>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</si>
  <si>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</si>
  <si>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</si>
  <si>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</si>
  <si>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</si>
  <si>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</si>
  <si>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</si>
  <si>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</si>
  <si>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</si>
  <si>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</si>
  <si>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</si>
  <si>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</si>
  <si>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</si>
  <si>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</si>
  <si>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</si>
  <si>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</si>
  <si>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</si>
  <si>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</si>
  <si>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</si>
  <si>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</si>
  <si>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</si>
  <si>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</si>
  <si>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</si>
  <si>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</si>
  <si>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</si>
  <si>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</si>
  <si>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</si>
  <si>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</si>
  <si>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</si>
  <si>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</si>
  <si>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</si>
  <si>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</si>
  <si>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</si>
  <si>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</si>
  <si>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</si>
  <si>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</si>
  <si>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</si>
  <si>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</si>
  <si>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</si>
  <si>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</si>
  <si>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</si>
  <si>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</si>
  <si>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</si>
  <si>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</si>
  <si>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</si>
  <si>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</si>
  <si>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</si>
  <si>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</si>
  <si>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</si>
  <si>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</si>
  <si>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</si>
  <si>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</si>
  <si>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</si>
  <si>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</si>
  <si>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</si>
  <si>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</si>
  <si>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</si>
  <si>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</si>
  <si>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</si>
  <si>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</si>
  <si>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</si>
  <si>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</si>
  <si>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</si>
  <si>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</si>
  <si>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</si>
  <si>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</si>
  <si>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</si>
  <si>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</si>
  <si>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</si>
  <si>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</si>
  <si>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</si>
  <si>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</si>
  <si>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</si>
  <si>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</si>
  <si>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</si>
  <si>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</si>
  <si>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</si>
  <si>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</si>
  <si>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</si>
  <si>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</si>
  <si>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</si>
  <si>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</si>
  <si>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</si>
  <si>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</si>
  <si>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</si>
  <si>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</si>
  <si>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</si>
  <si>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</si>
  <si>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</si>
  <si>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</si>
  <si>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</si>
  <si>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</si>
  <si>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</si>
  <si>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</si>
  <si>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</si>
  <si>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</si>
  <si>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</si>
  <si>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</si>
  <si>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</si>
  <si>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</si>
  <si>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</si>
  <si>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</si>
  <si>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</si>
  <si>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</si>
  <si>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</si>
  <si>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</si>
  <si>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</si>
  <si>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</si>
  <si>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</si>
  <si>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</si>
  <si>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</si>
  <si>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</si>
  <si>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</si>
  <si>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</si>
  <si>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</si>
  <si>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</si>
  <si>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</si>
  <si>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</si>
  <si>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</si>
  <si>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</si>
  <si>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</si>
  <si>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</si>
  <si>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</si>
  <si>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</si>
  <si>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</si>
  <si>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</si>
  <si>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</si>
  <si>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</si>
  <si>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</si>
  <si>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</si>
  <si>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</si>
  <si>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</si>
  <si>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</si>
  <si>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</si>
  <si>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</si>
  <si>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</si>
  <si>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</si>
  <si>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</si>
  <si>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</si>
  <si>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</si>
  <si>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</si>
  <si>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</si>
  <si>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</si>
  <si>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</si>
  <si>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</si>
  <si>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</si>
  <si>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</si>
  <si>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</si>
  <si>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</si>
  <si>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</si>
  <si>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</si>
  <si>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</si>
  <si>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</si>
  <si>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</si>
  <si>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</si>
  <si>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</si>
  <si>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</si>
  <si>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</si>
  <si>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</si>
  <si>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</si>
  <si>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</si>
  <si>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</si>
  <si>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</si>
  <si>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</si>
  <si>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</si>
  <si>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</si>
  <si>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</si>
  <si>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</si>
  <si>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</si>
  <si>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</si>
  <si>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</si>
  <si>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</si>
  <si>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</si>
  <si>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</si>
  <si>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</si>
  <si>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</si>
  <si>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</si>
  <si>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</si>
  <si>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</si>
  <si>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</si>
  <si>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</si>
  <si>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</si>
  <si>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</si>
  <si>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</si>
  <si>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</si>
  <si>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</si>
  <si>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</si>
  <si>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</si>
  <si>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</si>
  <si>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</si>
  <si>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</si>
  <si>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</si>
  <si>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</si>
  <si>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</si>
  <si>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</si>
  <si>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</si>
  <si>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</si>
  <si>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</si>
  <si>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</si>
  <si>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</si>
  <si>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</si>
  <si>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</si>
  <si>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</si>
  <si>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</si>
  <si>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</si>
  <si>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</si>
  <si>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</si>
  <si>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</si>
  <si>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</si>
  <si>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</si>
  <si>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</si>
  <si>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</si>
  <si>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</si>
  <si>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</si>
  <si>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</si>
  <si>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</si>
  <si>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</si>
  <si>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</si>
  <si>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</si>
  <si>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</si>
  <si>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</si>
  <si>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</si>
  <si>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</si>
  <si>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</si>
  <si>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</si>
  <si>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</si>
  <si>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</si>
  <si>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</si>
  <si>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</si>
  <si>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</si>
  <si>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</si>
  <si>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</si>
  <si>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</si>
  <si>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</si>
  <si>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</si>
  <si>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</si>
  <si>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</si>
  <si>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</si>
  <si>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</si>
  <si>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</si>
  <si>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</si>
  <si>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</si>
  <si>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</si>
  <si>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</si>
  <si>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</si>
  <si>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</si>
  <si>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</si>
  <si>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</si>
  <si>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</si>
  <si>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</si>
  <si>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</si>
  <si>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</si>
  <si>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</si>
  <si>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</si>
  <si>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</si>
  <si>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</si>
  <si>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</si>
  <si>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</si>
  <si>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</si>
  <si>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</si>
  <si>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</si>
  <si>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</si>
  <si>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</si>
  <si>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</si>
  <si>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</si>
  <si>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</si>
  <si>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</si>
  <si>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</si>
  <si>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</si>
  <si>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</si>
  <si>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</si>
  <si>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</si>
  <si>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</si>
  <si>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</si>
  <si>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</si>
  <si>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</si>
  <si>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</si>
  <si>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</si>
  <si>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</si>
  <si>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</si>
  <si>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</si>
  <si>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</si>
  <si>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</si>
  <si>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</si>
  <si>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</si>
  <si>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</si>
  <si>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</si>
  <si>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</si>
  <si>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</si>
  <si>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</si>
  <si>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</si>
  <si>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</si>
  <si>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</si>
  <si>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</si>
  <si>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</si>
  <si>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</si>
  <si>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</si>
  <si>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</si>
  <si>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</si>
  <si>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</si>
  <si>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</si>
  <si>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</si>
  <si>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</si>
  <si>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</si>
  <si>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</si>
  <si>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</si>
  <si>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</si>
  <si>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</si>
  <si>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</si>
  <si>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</si>
  <si>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</si>
  <si>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</si>
  <si>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</si>
  <si>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</si>
  <si>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</si>
  <si>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</si>
  <si>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</si>
  <si>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</si>
  <si>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</si>
  <si>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</si>
  <si>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</si>
  <si>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</si>
  <si>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</si>
  <si>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</si>
  <si>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</si>
  <si>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</si>
  <si>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</si>
  <si>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</si>
  <si>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</si>
  <si>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</si>
  <si>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</si>
  <si>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</si>
  <si>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</si>
  <si>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</si>
  <si>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</si>
  <si>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</si>
  <si>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</si>
  <si>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</si>
  <si>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</si>
  <si>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</si>
  <si>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</si>
  <si>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</si>
  <si>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</si>
  <si>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</si>
  <si>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</si>
  <si>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</si>
  <si>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</si>
  <si>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</si>
  <si>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</si>
  <si>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</si>
  <si>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</si>
  <si>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</si>
  <si>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</si>
  <si>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</si>
  <si>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</si>
  <si>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</si>
  <si>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</si>
  <si>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</si>
  <si>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</si>
  <si>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</si>
  <si>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</si>
  <si>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</si>
  <si>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</si>
  <si>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</si>
  <si>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</si>
  <si>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</si>
  <si>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</si>
  <si>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</si>
  <si>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</si>
  <si>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</si>
  <si>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</si>
  <si>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</si>
  <si>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</si>
  <si>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</si>
  <si>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</si>
  <si>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</si>
  <si>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</si>
  <si>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</si>
  <si>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</si>
  <si>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</si>
  <si>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</si>
  <si>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</si>
  <si>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</si>
  <si>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</si>
  <si>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</si>
  <si>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</si>
  <si>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</si>
  <si>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</si>
  <si>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</si>
  <si>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</si>
  <si>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</si>
  <si>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</si>
  <si>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</si>
  <si>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</si>
  <si>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</si>
  <si>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</si>
  <si>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</si>
  <si>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</si>
  <si>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</si>
  <si>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</si>
  <si>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</si>
  <si>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</si>
  <si>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</si>
  <si>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</si>
  <si>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</si>
  <si>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</si>
  <si>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</si>
  <si>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</si>
  <si>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</si>
  <si>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</si>
  <si>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</si>
  <si>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</si>
  <si>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</si>
  <si>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</si>
  <si>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</si>
  <si>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</si>
  <si>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</si>
  <si>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</si>
  <si>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</si>
  <si>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</si>
  <si>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</si>
  <si>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</si>
  <si>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</si>
  <si>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</si>
  <si>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</si>
  <si>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</si>
  <si>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</si>
  <si>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</si>
  <si>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</si>
  <si>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</si>
  <si>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</si>
  <si>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</si>
  <si>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</si>
  <si>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</si>
  <si>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</si>
  <si>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</si>
  <si>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</si>
  <si>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</si>
  <si>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</si>
  <si>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</si>
  <si>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</si>
  <si>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</si>
  <si>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</si>
  <si>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</si>
  <si>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</si>
  <si>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</si>
  <si>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</si>
  <si>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</si>
  <si>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</si>
  <si>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</si>
  <si>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</si>
  <si>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</si>
  <si>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</si>
  <si>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</si>
  <si>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</si>
  <si>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</si>
  <si>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</si>
  <si>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</si>
  <si>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</si>
  <si>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</si>
  <si>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</si>
  <si>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</si>
  <si>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</si>
  <si>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</si>
  <si>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</si>
  <si>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</si>
  <si>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</si>
  <si>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</si>
  <si>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</si>
  <si>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</si>
  <si>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</si>
  <si>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</si>
  <si>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</si>
  <si>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</si>
  <si>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</si>
  <si>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</si>
  <si>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</si>
  <si>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</si>
  <si>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</si>
  <si>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</si>
  <si>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</si>
  <si>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</si>
  <si>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</si>
  <si>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</si>
  <si>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</si>
  <si>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</si>
  <si>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</si>
  <si>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</si>
  <si>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</si>
  <si>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</si>
  <si>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</si>
  <si>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</si>
  <si>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</si>
  <si>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</si>
  <si>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</si>
  <si>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</si>
  <si>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</si>
  <si>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</si>
  <si>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</si>
  <si>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</si>
  <si>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</si>
  <si>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</si>
  <si>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</si>
  <si>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</si>
  <si>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</si>
  <si>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</si>
  <si>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</si>
  <si>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</si>
  <si>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</si>
  <si>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</si>
  <si>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</si>
  <si>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</si>
  <si>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</si>
  <si>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</si>
  <si>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</si>
  <si>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</si>
  <si>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</si>
  <si>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</si>
  <si>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</si>
  <si>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</si>
  <si>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</si>
  <si>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</si>
  <si>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</si>
  <si>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</si>
  <si>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</si>
  <si>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</si>
  <si>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</si>
  <si>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</si>
  <si>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</si>
  <si>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</si>
  <si>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</si>
  <si>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</si>
  <si>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</si>
  <si>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</si>
  <si>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</si>
  <si>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</si>
  <si>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</si>
  <si>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</si>
  <si>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</si>
  <si>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</si>
  <si>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</si>
  <si>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</si>
  <si>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</si>
  <si>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</si>
  <si>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</si>
  <si>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</si>
  <si>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</si>
  <si>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</si>
  <si>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</si>
  <si>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</si>
  <si>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</si>
  <si>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</si>
  <si>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</si>
  <si>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</si>
  <si>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</si>
  <si>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</si>
  <si>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</si>
  <si>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</si>
  <si>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</si>
  <si>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</si>
  <si>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</si>
  <si>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</si>
  <si>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</si>
  <si>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</si>
  <si>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</si>
  <si>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</si>
  <si>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</si>
  <si>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</si>
  <si>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</si>
  <si>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</si>
  <si>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</si>
  <si>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</si>
  <si>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</si>
  <si>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</si>
  <si>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</si>
  <si>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</si>
  <si>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</si>
  <si>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</si>
  <si>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</si>
  <si>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</si>
  <si>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</si>
  <si>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</si>
  <si>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</si>
  <si>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</si>
  <si>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</si>
  <si>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</si>
  <si>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</si>
  <si>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</si>
  <si>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</si>
  <si>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</si>
  <si>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</si>
  <si>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</si>
  <si>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</si>
  <si>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</si>
  <si>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</si>
  <si>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</si>
  <si>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</si>
  <si>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</si>
  <si>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</si>
  <si>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</si>
  <si>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</si>
  <si>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</si>
  <si>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</si>
  <si>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</si>
  <si>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</si>
  <si>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</si>
  <si>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</si>
  <si>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</si>
  <si>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</si>
  <si>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</si>
  <si>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</si>
  <si>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</si>
  <si>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</si>
  <si>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</si>
  <si>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</si>
  <si>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</si>
  <si>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</si>
  <si>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</si>
  <si>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</si>
  <si>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</si>
  <si>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</si>
  <si>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</si>
  <si>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</si>
  <si>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</si>
  <si>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</si>
  <si>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</si>
  <si>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</si>
  <si>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</si>
  <si>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</si>
  <si>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</si>
  <si>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</si>
  <si>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</si>
  <si>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</si>
  <si>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</si>
  <si>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</si>
  <si>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</si>
  <si>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</si>
  <si>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</si>
  <si>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</si>
  <si>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</si>
  <si>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</si>
  <si>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</si>
  <si>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</si>
  <si>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</si>
  <si>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</si>
  <si>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</si>
  <si>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</si>
  <si>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</si>
  <si>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</si>
  <si>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</si>
  <si>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</si>
  <si>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</si>
  <si>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</si>
  <si>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</si>
  <si>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</si>
  <si>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</si>
  <si>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</si>
  <si>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</si>
  <si>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</si>
  <si>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</si>
  <si>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</si>
  <si>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</si>
  <si>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</si>
  <si>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</si>
  <si>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</si>
  <si>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</si>
  <si>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</si>
  <si>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</si>
  <si>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</si>
  <si>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</si>
  <si>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</si>
  <si>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</si>
  <si>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</si>
  <si>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</si>
  <si>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</si>
  <si>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</si>
  <si>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</si>
  <si>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</si>
  <si>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</si>
  <si>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</si>
  <si>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</si>
  <si>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</si>
  <si>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</si>
  <si>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</si>
  <si>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</si>
  <si>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</si>
  <si>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</si>
  <si>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</si>
  <si>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</si>
  <si>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</si>
  <si>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</si>
  <si>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</si>
  <si>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</si>
  <si>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</si>
  <si>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</si>
  <si>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</si>
  <si>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</si>
  <si>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</si>
  <si>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</si>
  <si>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</si>
  <si>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</si>
  <si>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</si>
  <si>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</si>
  <si>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</si>
  <si>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</si>
  <si>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</si>
  <si>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</si>
  <si>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</si>
  <si>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</si>
  <si>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</si>
  <si>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</si>
  <si>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</si>
  <si>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</si>
  <si>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</si>
  <si>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</si>
  <si>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</si>
  <si>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</si>
  <si>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</si>
  <si>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</si>
  <si>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</si>
  <si>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</si>
  <si>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</si>
  <si>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</si>
  <si>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</si>
  <si>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</si>
  <si>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</si>
  <si>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</si>
  <si>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</si>
  <si>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</si>
  <si>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</si>
  <si>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</si>
  <si>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</si>
  <si>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</si>
  <si>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</si>
  <si>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</si>
  <si>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</si>
  <si>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</si>
  <si>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</si>
  <si>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</si>
  <si>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</si>
  <si>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</si>
  <si>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</si>
  <si>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</si>
  <si>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</si>
  <si>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</si>
  <si>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</si>
  <si>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</si>
  <si>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</si>
  <si>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</si>
  <si>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</si>
  <si>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</si>
  <si>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</si>
  <si>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</si>
  <si>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</si>
  <si>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</si>
  <si>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</si>
  <si>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</si>
  <si>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</si>
  <si>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</si>
  <si>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</si>
  <si>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</si>
  <si>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</si>
  <si>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</si>
  <si>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</si>
  <si>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</si>
  <si>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</si>
  <si>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</si>
  <si>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</si>
  <si>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</si>
  <si>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</si>
  <si>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</si>
  <si>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</si>
  <si>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</si>
  <si>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</si>
  <si>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</si>
  <si>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</si>
  <si>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</si>
  <si>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</si>
  <si>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</si>
  <si>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</si>
  <si>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</si>
  <si>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</si>
  <si>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</si>
  <si>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</si>
  <si>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</si>
  <si>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</si>
  <si>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</si>
  <si>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</si>
  <si>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</si>
  <si>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</si>
  <si>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</si>
  <si>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</si>
  <si>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</si>
  <si>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</si>
  <si>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</si>
  <si>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</si>
  <si>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</si>
  <si>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Unknown</t>
  </si>
  <si>
    <t>Experiment Summary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</si>
  <si>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</si>
  <si>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</si>
  <si>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</si>
  <si>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</si>
  <si>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</si>
  <si>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</si>
  <si>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Avg Revenue Per User</t>
  </si>
  <si>
    <t>Avg Revenue Per Converted User</t>
  </si>
  <si>
    <t>Refund Rate</t>
  </si>
  <si>
    <t>Support Ticket Rate</t>
  </si>
  <si>
    <t>Avg Engagement Score</t>
  </si>
  <si>
    <t>Avg Days to Convert</t>
  </si>
  <si>
    <t>Segment Analysis</t>
  </si>
  <si>
    <t>Paid Conversion Rate by Region</t>
  </si>
  <si>
    <t>Paid Conversion Rate by Device Type</t>
  </si>
  <si>
    <t>Paid Conversion Rate by Traffic Source</t>
  </si>
  <si>
    <t>Region</t>
  </si>
  <si>
    <t>Device Type</t>
  </si>
  <si>
    <t>Traffic Source</t>
  </si>
  <si>
    <t>Paid Conversion Rate by Plan Type</t>
  </si>
  <si>
    <t>Plan Type</t>
  </si>
  <si>
    <t>control_converted</t>
  </si>
  <si>
    <t>treatment_converted</t>
  </si>
  <si>
    <t>Mean</t>
  </si>
  <si>
    <t>Observations</t>
  </si>
  <si>
    <t>Hypothesized Mean Difference</t>
  </si>
  <si>
    <t>t-Test: Two-Sample Assuming Unequal Variances</t>
  </si>
  <si>
    <t>Variance</t>
  </si>
  <si>
    <t>df</t>
  </si>
  <si>
    <t>t Stat</t>
  </si>
  <si>
    <t>P(T&lt;=t) one-tail</t>
  </si>
  <si>
    <t>t Critical one-tail</t>
  </si>
  <si>
    <t>P(T&lt;=t) two-tail</t>
  </si>
  <si>
    <t>t Critical two-tail</t>
  </si>
  <si>
    <t>A/B Test — Paid Conversion Rate (Treatment vs Control)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</si>
</sst>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1"/>
      <color rgb="FFFFFFFF"/>
      <name val="Carlito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i/>
      <sz val="11"/>
      <name val="Carlito"/>
    </font>
    <font>
      <b/>
      <sz val="16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0" borderId="0" xfId="0" applyFont="1"/>
    <xf numFmtId="0" fontId="0" fillId="0" borderId="1" xfId="0" applyBorder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0" fillId="0" borderId="3" xfId="0" applyBorder="1" applyAlignment="1">
      <alignment wrapText="1"/>
    </xf>
    <xf numFmtId="0" fontId="0" fillId="0" borderId="3" xfId="0" applyBorder="1"/>
    <xf numFmtId="10" fontId="0" fillId="0" borderId="3" xfId="0" applyNumberFormat="1" applyBorder="1"/>
    <xf numFmtId="2" fontId="0" fillId="0" borderId="3" xfId="0" applyNumberFormat="1" applyBorder="1"/>
    <xf numFmtId="10" fontId="3" fillId="0" borderId="3" xfId="0" applyNumberFormat="1" applyFont="1" applyBorder="1"/>
  </cellXfs>
  <cellStyles count="1">
    <cellStyle name="Normal" xfId="0" builtinId="0"/>
  </cellStyles>
  <dxfs count="20">
    <dxf>
      <numFmt numFmtId="14" formatCode="0.00%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4" formatCode="0.00%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55E75"/>
        </patternFill>
      </fill>
      <alignment horizontal="center" vertical="center" textRotation="0" wrapText="1" indent="0" justifyLastLine="0" shrinkToFit="0" readingOrder="0"/>
    </dxf>
    <dxf>
      <numFmt numFmtId="14" formatCode="0.00%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4" formatCode="0.00%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55E75"/>
        </patternFill>
      </fill>
      <alignment horizontal="center" vertical="center" textRotation="0" wrapText="1" indent="0" justifyLastLine="0" shrinkToFit="0" readingOrder="0"/>
    </dxf>
    <dxf>
      <numFmt numFmtId="14" formatCode="0.00%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4" formatCode="0.00%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55E75"/>
        </patternFill>
      </fill>
      <alignment horizontal="center" vertical="center" textRotation="0" wrapText="1" indent="0" justifyLastLine="0" shrinkToFit="0" readingOrder="0"/>
    </dxf>
    <dxf>
      <numFmt numFmtId="14" formatCode="0.00%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4" formatCode="0.00%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55E75"/>
        </patternFill>
      </fill>
      <alignment horizontal="center" vertical="center" textRotation="0" wrapText="1" indent="0" justifyLastLine="0" shrinkToFit="0" readingOrder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55E7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tali%20Kalburgi\OneDrive\Desktop\Bitsom%20Notes\Assignments\Final%20Capstone%20Project\part2_kpi_experiment\part2_kpi_experiment\outputs\experiment_summary.xlsx" TargetMode="External"/><Relationship Id="rId1" Type="http://schemas.openxmlformats.org/officeDocument/2006/relationships/externalLinkPath" Target="file:///C:\Users\Mitali%20Kalburgi\OneDrive\Desktop\Bitsom%20Notes\Assignments\Final%20Capstone%20Project\part2_kpi_experiment\part2_kpi_experiment\outputs\experiment_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eriment_summary"/>
    </sheetNames>
    <sheetDataSet>
      <sheetData sheetId="0">
        <row r="4">
          <cell r="B4">
            <v>690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2EAAEC-264D-4DFF-BF3C-E3881F27FAE8}" name="Table1" displayName="Table1" ref="A3:C14" totalsRowShown="0" headerRowDxfId="19">
  <tableColumns count="3">
    <tableColumn id="1" xr3:uid="{853DDA37-B981-4559-BF48-84BB47A62E93}" name="Metric" dataDxfId="18"/>
    <tableColumn id="2" xr3:uid="{9AD70A1F-946D-4098-90B2-88375896F278}" name="Control" dataDxfId="17">
      <calculatedColumnFormula>COUNTIFS(#REF!,"Control")</calculatedColumnFormula>
    </tableColumn>
    <tableColumn id="3" xr3:uid="{E3176A40-4973-4AC2-9F27-6521B8CC7628}" name="Treatment" dataDxfId="16">
      <calculatedColumnFormula>COUNTIFS(#REF!,"Treatment")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B080A7-E172-49E1-8213-28DCA1F81617}" name="Table2" displayName="Table2" ref="A20:C24" totalsRowShown="0" headerRowDxfId="15">
  <tableColumns count="3">
    <tableColumn id="1" xr3:uid="{1DE00155-3DFE-4FD9-9522-7E2372390636}" name="Region" dataDxfId="14"/>
    <tableColumn id="2" xr3:uid="{4CF2FFD6-642D-4E7B-9537-81F0747E5093}" name="Control" dataDxfId="13">
      <calculatedColumnFormula>COUNTIFS(#REF!,"Control",#REF!,"North",#REF!,1)/COUNTIFS(#REF!,"Control",#REF!,"North")</calculatedColumnFormula>
    </tableColumn>
    <tableColumn id="3" xr3:uid="{3AE9D397-2B94-4D9C-98C3-99C619EB36A9}" name="Treatment" dataDxfId="12">
      <calculatedColumnFormula>COUNTIFS(#REF!,"Treatment",#REF!,"North",#REF!,1)/COUNTIFS(#REF!,"Treatment",#REF!,"North")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0D5BA1-0094-4353-83F8-3EBAD6A375A7}" name="Table3" displayName="Table3" ref="F20:H23" totalsRowShown="0" headerRowDxfId="11">
  <tableColumns count="3">
    <tableColumn id="1" xr3:uid="{B1855146-9C59-4DB9-A477-97899E33AE6C}" name="Device Type" dataDxfId="10"/>
    <tableColumn id="2" xr3:uid="{DDF944E0-A781-49A4-85A7-74E5F7C42DC8}" name="Control" dataDxfId="9">
      <calculatedColumnFormula>COUNTIFS(#REF!,"Control",#REF!,"Mobile",#REF!,1)/COUNTIFS(#REF!,"Control",#REF!,"Mobile")</calculatedColumnFormula>
    </tableColumn>
    <tableColumn id="3" xr3:uid="{99C626DE-B3F3-48B8-B0DF-B8733939F649}" name="Treatment" dataDxfId="8">
      <calculatedColumnFormula>COUNTIFS(#REF!,"Treatment",#REF!,"Mobile",#REF!,1)/COUNTIFS(#REF!,"Treatment",#REF!,"Mobile")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2A9654-7057-44DF-91F4-9C228CBEFD20}" name="Table4" displayName="Table4" ref="K20:M25" totalsRowShown="0" headerRowDxfId="7">
  <tableColumns count="3">
    <tableColumn id="1" xr3:uid="{ADB1C218-6D48-4910-BB01-5B286E8BAE9A}" name="Traffic Source" dataDxfId="6"/>
    <tableColumn id="2" xr3:uid="{08ACF68A-75A1-4B23-918B-94F1F3FB5A49}" name="Control" dataDxfId="5">
      <calculatedColumnFormula>COUNTIFS(#REF!,"Control",#REF!,"Organic",#REF!,1)/COUNTIFS(#REF!,"Control",#REF!,"Organic")</calculatedColumnFormula>
    </tableColumn>
    <tableColumn id="3" xr3:uid="{B7729244-EFB0-490D-ABAB-342B42BB3EC4}" name="Treatment" dataDxfId="4">
      <calculatedColumnFormula>COUNTIFS(#REF!,"Treatment",#REF!,"Organic",#REF!,1)/COUNTIFS(#REF!,"Treatment",#REF!,"Organic")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7C2429-CDBA-430C-A248-0D6A33F21F5F}" name="Table5" displayName="Table5" ref="P20:R23" totalsRowShown="0" headerRowDxfId="3">
  <tableColumns count="3">
    <tableColumn id="1" xr3:uid="{FC1DF9CF-FCC6-4E6A-919F-184323447FEF}" name="Plan Type" dataDxfId="2"/>
    <tableColumn id="2" xr3:uid="{074DA1D1-1E54-4EC1-BEC9-4C8739DB7F96}" name="Control" dataDxfId="1">
      <calculatedColumnFormula>COUNTIFS(#REF!,"Control",#REF!,"Free",#REF!,1)/COUNTIFS(#REF!,"Control",#REF!,"Free")</calculatedColumnFormula>
    </tableColumn>
    <tableColumn id="3" xr3:uid="{3AF539C4-6D94-457A-A785-05BED4FE095F}" name="Treatment" dataDxfId="0">
      <calculatedColumnFormula>COUNTIFS(#REF!,"Treatment",#REF!,"Free",#REF!,1)/COUNTIFS(#REF!,"Treatment",#REF!,"Free")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01"/>
  <sheetViews>
    <sheetView tabSelected="1" topLeftCell="A1246" zoomScale="63" workbookViewId="0">
      <selection activeCell="C1401" sqref="C1401"/>
    </sheetView>
  </sheetViews>
  <sheetFormatPr defaultRowHeight="14"/>
  <cols>
    <col min="1" max="16" width="16" customWidth="1"/>
  </cols>
  <sheetData>
    <row r="1" spans="1:18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1456</v>
      </c>
      <c r="R1" s="1" t="s">
        <v>1457</v>
      </c>
    </row>
    <row r="2" spans="1:18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Q2">
        <f>IF(C2="Control",K2,"")</f>
        <v>0</v>
      </c>
      <c r="R2" t="str">
        <f>IF(C2="Treatment",K2,"")</f>
        <v/>
      </c>
    </row>
    <row r="3" spans="1:18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Q3">
        <f t="shared" ref="Q3:Q66" si="0">IF(C3="Control",K3,"")</f>
        <v>0</v>
      </c>
      <c r="R3" t="str">
        <f t="shared" ref="R3:R66" si="1">IF(C3="Treatment",K3,"")</f>
        <v/>
      </c>
    </row>
    <row r="4" spans="1:18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Q4">
        <f t="shared" si="0"/>
        <v>0</v>
      </c>
      <c r="R4" t="str">
        <f t="shared" si="1"/>
        <v/>
      </c>
    </row>
    <row r="5" spans="1:18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Q5">
        <f t="shared" si="0"/>
        <v>0</v>
      </c>
      <c r="R5" t="str">
        <f t="shared" si="1"/>
        <v/>
      </c>
    </row>
    <row r="6" spans="1:18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Q6">
        <f t="shared" si="0"/>
        <v>0</v>
      </c>
      <c r="R6" t="str">
        <f t="shared" si="1"/>
        <v/>
      </c>
    </row>
    <row r="7" spans="1:18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Q7">
        <f t="shared" si="0"/>
        <v>0</v>
      </c>
      <c r="R7" t="str">
        <f t="shared" si="1"/>
        <v/>
      </c>
    </row>
    <row r="8" spans="1:18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Q8">
        <f t="shared" si="0"/>
        <v>0</v>
      </c>
      <c r="R8" t="str">
        <f t="shared" si="1"/>
        <v/>
      </c>
    </row>
    <row r="9" spans="1:18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Q9">
        <f t="shared" si="0"/>
        <v>0</v>
      </c>
      <c r="R9" t="str">
        <f t="shared" si="1"/>
        <v/>
      </c>
    </row>
    <row r="10" spans="1:18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Q10">
        <f t="shared" si="0"/>
        <v>0</v>
      </c>
      <c r="R10" t="str">
        <f t="shared" si="1"/>
        <v/>
      </c>
    </row>
    <row r="11" spans="1:18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Q11">
        <f t="shared" si="0"/>
        <v>0</v>
      </c>
      <c r="R11" t="str">
        <f t="shared" si="1"/>
        <v/>
      </c>
    </row>
    <row r="12" spans="1:18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Q12">
        <f t="shared" si="0"/>
        <v>0</v>
      </c>
      <c r="R12" t="str">
        <f t="shared" si="1"/>
        <v/>
      </c>
    </row>
    <row r="13" spans="1:18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Q13">
        <f t="shared" si="0"/>
        <v>0</v>
      </c>
      <c r="R13" t="str">
        <f t="shared" si="1"/>
        <v/>
      </c>
    </row>
    <row r="14" spans="1:18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Q14">
        <f t="shared" si="0"/>
        <v>0</v>
      </c>
      <c r="R14" t="str">
        <f t="shared" si="1"/>
        <v/>
      </c>
    </row>
    <row r="15" spans="1:18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Q15">
        <f t="shared" si="0"/>
        <v>0</v>
      </c>
      <c r="R15" t="str">
        <f t="shared" si="1"/>
        <v/>
      </c>
    </row>
    <row r="16" spans="1:18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Q16">
        <f t="shared" si="0"/>
        <v>0</v>
      </c>
      <c r="R16" t="str">
        <f t="shared" si="1"/>
        <v/>
      </c>
    </row>
    <row r="17" spans="1:18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Q17">
        <f t="shared" si="0"/>
        <v>0</v>
      </c>
      <c r="R17" t="str">
        <f t="shared" si="1"/>
        <v/>
      </c>
    </row>
    <row r="18" spans="1:18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Q18">
        <f t="shared" si="0"/>
        <v>0</v>
      </c>
      <c r="R18" t="str">
        <f t="shared" si="1"/>
        <v/>
      </c>
    </row>
    <row r="19" spans="1:18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Q19">
        <f t="shared" si="0"/>
        <v>0</v>
      </c>
      <c r="R19" t="str">
        <f t="shared" si="1"/>
        <v/>
      </c>
    </row>
    <row r="20" spans="1:18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Q20">
        <f t="shared" si="0"/>
        <v>0</v>
      </c>
      <c r="R20" t="str">
        <f t="shared" si="1"/>
        <v/>
      </c>
    </row>
    <row r="21" spans="1:18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Q21">
        <f t="shared" si="0"/>
        <v>0</v>
      </c>
      <c r="R21" t="str">
        <f t="shared" si="1"/>
        <v/>
      </c>
    </row>
    <row r="22" spans="1:18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Q22">
        <f t="shared" si="0"/>
        <v>0</v>
      </c>
      <c r="R22" t="str">
        <f t="shared" si="1"/>
        <v/>
      </c>
    </row>
    <row r="23" spans="1:18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Q23">
        <f t="shared" si="0"/>
        <v>0</v>
      </c>
      <c r="R23" t="str">
        <f t="shared" si="1"/>
        <v/>
      </c>
    </row>
    <row r="24" spans="1:18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Q24">
        <f t="shared" si="0"/>
        <v>0</v>
      </c>
      <c r="R24" t="str">
        <f t="shared" si="1"/>
        <v/>
      </c>
    </row>
    <row r="25" spans="1:18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Q25">
        <f t="shared" si="0"/>
        <v>0</v>
      </c>
      <c r="R25" t="str">
        <f t="shared" si="1"/>
        <v/>
      </c>
    </row>
    <row r="26" spans="1:18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Q26">
        <f t="shared" si="0"/>
        <v>0</v>
      </c>
      <c r="R26" t="str">
        <f t="shared" si="1"/>
        <v/>
      </c>
    </row>
    <row r="27" spans="1:18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Q27">
        <f t="shared" si="0"/>
        <v>0</v>
      </c>
      <c r="R27" t="str">
        <f t="shared" si="1"/>
        <v/>
      </c>
    </row>
    <row r="28" spans="1:18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Q28">
        <f t="shared" si="0"/>
        <v>0</v>
      </c>
      <c r="R28" t="str">
        <f t="shared" si="1"/>
        <v/>
      </c>
    </row>
    <row r="29" spans="1:18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Q29">
        <f t="shared" si="0"/>
        <v>0</v>
      </c>
      <c r="R29" t="str">
        <f t="shared" si="1"/>
        <v/>
      </c>
    </row>
    <row r="30" spans="1:18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Q30">
        <f t="shared" si="0"/>
        <v>0</v>
      </c>
      <c r="R30" t="str">
        <f t="shared" si="1"/>
        <v/>
      </c>
    </row>
    <row r="31" spans="1:18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Q31">
        <f t="shared" si="0"/>
        <v>0</v>
      </c>
      <c r="R31" t="str">
        <f t="shared" si="1"/>
        <v/>
      </c>
    </row>
    <row r="32" spans="1:18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Q32">
        <f t="shared" si="0"/>
        <v>0</v>
      </c>
      <c r="R32" t="str">
        <f t="shared" si="1"/>
        <v/>
      </c>
    </row>
    <row r="33" spans="1:18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Q33">
        <f t="shared" si="0"/>
        <v>0</v>
      </c>
      <c r="R33" t="str">
        <f t="shared" si="1"/>
        <v/>
      </c>
    </row>
    <row r="34" spans="1:18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Q34">
        <f t="shared" si="0"/>
        <v>0</v>
      </c>
      <c r="R34" t="str">
        <f t="shared" si="1"/>
        <v/>
      </c>
    </row>
    <row r="35" spans="1:18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Q35">
        <f t="shared" si="0"/>
        <v>0</v>
      </c>
      <c r="R35" t="str">
        <f t="shared" si="1"/>
        <v/>
      </c>
    </row>
    <row r="36" spans="1:18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Q36">
        <f t="shared" si="0"/>
        <v>0</v>
      </c>
      <c r="R36" t="str">
        <f t="shared" si="1"/>
        <v/>
      </c>
    </row>
    <row r="37" spans="1:18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Q37">
        <f t="shared" si="0"/>
        <v>0</v>
      </c>
      <c r="R37" t="str">
        <f t="shared" si="1"/>
        <v/>
      </c>
    </row>
    <row r="38" spans="1:18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Q38">
        <f t="shared" si="0"/>
        <v>0</v>
      </c>
      <c r="R38" t="str">
        <f t="shared" si="1"/>
        <v/>
      </c>
    </row>
    <row r="39" spans="1:18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Q39">
        <f t="shared" si="0"/>
        <v>0</v>
      </c>
      <c r="R39" t="str">
        <f t="shared" si="1"/>
        <v/>
      </c>
    </row>
    <row r="40" spans="1:18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Q40">
        <f t="shared" si="0"/>
        <v>0</v>
      </c>
      <c r="R40" t="str">
        <f t="shared" si="1"/>
        <v/>
      </c>
    </row>
    <row r="41" spans="1:18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Q41">
        <f t="shared" si="0"/>
        <v>0</v>
      </c>
      <c r="R41" t="str">
        <f t="shared" si="1"/>
        <v/>
      </c>
    </row>
    <row r="42" spans="1:18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Q42">
        <f t="shared" si="0"/>
        <v>0</v>
      </c>
      <c r="R42" t="str">
        <f t="shared" si="1"/>
        <v/>
      </c>
    </row>
    <row r="43" spans="1:18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Q43">
        <f t="shared" si="0"/>
        <v>0</v>
      </c>
      <c r="R43" t="str">
        <f t="shared" si="1"/>
        <v/>
      </c>
    </row>
    <row r="44" spans="1:18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Q44">
        <f t="shared" si="0"/>
        <v>0</v>
      </c>
      <c r="R44" t="str">
        <f t="shared" si="1"/>
        <v/>
      </c>
    </row>
    <row r="45" spans="1:18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Q45">
        <f t="shared" si="0"/>
        <v>0</v>
      </c>
      <c r="R45" t="str">
        <f t="shared" si="1"/>
        <v/>
      </c>
    </row>
    <row r="46" spans="1:18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Q46">
        <f t="shared" si="0"/>
        <v>0</v>
      </c>
      <c r="R46" t="str">
        <f t="shared" si="1"/>
        <v/>
      </c>
    </row>
    <row r="47" spans="1:18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Q47">
        <f t="shared" si="0"/>
        <v>0</v>
      </c>
      <c r="R47" t="str">
        <f t="shared" si="1"/>
        <v/>
      </c>
    </row>
    <row r="48" spans="1:18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Q48">
        <f t="shared" si="0"/>
        <v>0</v>
      </c>
      <c r="R48" t="str">
        <f t="shared" si="1"/>
        <v/>
      </c>
    </row>
    <row r="49" spans="1:18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Q49">
        <f t="shared" si="0"/>
        <v>0</v>
      </c>
      <c r="R49" t="str">
        <f t="shared" si="1"/>
        <v/>
      </c>
    </row>
    <row r="50" spans="1:18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Q50">
        <f t="shared" si="0"/>
        <v>0</v>
      </c>
      <c r="R50" t="str">
        <f t="shared" si="1"/>
        <v/>
      </c>
    </row>
    <row r="51" spans="1:18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Q51">
        <f t="shared" si="0"/>
        <v>0</v>
      </c>
      <c r="R51" t="str">
        <f t="shared" si="1"/>
        <v/>
      </c>
    </row>
    <row r="52" spans="1:18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Q52">
        <f t="shared" si="0"/>
        <v>0</v>
      </c>
      <c r="R52" t="str">
        <f t="shared" si="1"/>
        <v/>
      </c>
    </row>
    <row r="53" spans="1:18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Q53">
        <f t="shared" si="0"/>
        <v>0</v>
      </c>
      <c r="R53" t="str">
        <f t="shared" si="1"/>
        <v/>
      </c>
    </row>
    <row r="54" spans="1:18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Q54">
        <f t="shared" si="0"/>
        <v>0</v>
      </c>
      <c r="R54" t="str">
        <f t="shared" si="1"/>
        <v/>
      </c>
    </row>
    <row r="55" spans="1:18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Q55">
        <f t="shared" si="0"/>
        <v>0</v>
      </c>
      <c r="R55" t="str">
        <f t="shared" si="1"/>
        <v/>
      </c>
    </row>
    <row r="56" spans="1:18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Q56">
        <f t="shared" si="0"/>
        <v>0</v>
      </c>
      <c r="R56" t="str">
        <f t="shared" si="1"/>
        <v/>
      </c>
    </row>
    <row r="57" spans="1:18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Q57">
        <f t="shared" si="0"/>
        <v>0</v>
      </c>
      <c r="R57" t="str">
        <f t="shared" si="1"/>
        <v/>
      </c>
    </row>
    <row r="58" spans="1:18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Q58">
        <f t="shared" si="0"/>
        <v>0</v>
      </c>
      <c r="R58" t="str">
        <f t="shared" si="1"/>
        <v/>
      </c>
    </row>
    <row r="59" spans="1:18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Q59">
        <f t="shared" si="0"/>
        <v>0</v>
      </c>
      <c r="R59" t="str">
        <f t="shared" si="1"/>
        <v/>
      </c>
    </row>
    <row r="60" spans="1:18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Q60">
        <f t="shared" si="0"/>
        <v>0</v>
      </c>
      <c r="R60" t="str">
        <f t="shared" si="1"/>
        <v/>
      </c>
    </row>
    <row r="61" spans="1:18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Q61">
        <f t="shared" si="0"/>
        <v>1</v>
      </c>
      <c r="R61" t="str">
        <f t="shared" si="1"/>
        <v/>
      </c>
    </row>
    <row r="62" spans="1:18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Q62">
        <f t="shared" si="0"/>
        <v>0</v>
      </c>
      <c r="R62" t="str">
        <f t="shared" si="1"/>
        <v/>
      </c>
    </row>
    <row r="63" spans="1:18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Q63">
        <f t="shared" si="0"/>
        <v>0</v>
      </c>
      <c r="R63" t="str">
        <f t="shared" si="1"/>
        <v/>
      </c>
    </row>
    <row r="64" spans="1:18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Q64">
        <f t="shared" si="0"/>
        <v>0</v>
      </c>
      <c r="R64" t="str">
        <f t="shared" si="1"/>
        <v/>
      </c>
    </row>
    <row r="65" spans="1:18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Q65">
        <f t="shared" si="0"/>
        <v>0</v>
      </c>
      <c r="R65" t="str">
        <f t="shared" si="1"/>
        <v/>
      </c>
    </row>
    <row r="66" spans="1:18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Q66">
        <f t="shared" si="0"/>
        <v>0</v>
      </c>
      <c r="R66" t="str">
        <f t="shared" si="1"/>
        <v/>
      </c>
    </row>
    <row r="67" spans="1:18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Q67">
        <f t="shared" ref="Q67:Q130" si="2">IF(C67="Control",K67,"")</f>
        <v>0</v>
      </c>
      <c r="R67" t="str">
        <f t="shared" ref="R67:R130" si="3">IF(C67="Treatment",K67,"")</f>
        <v/>
      </c>
    </row>
    <row r="68" spans="1:18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Q68">
        <f t="shared" si="2"/>
        <v>0</v>
      </c>
      <c r="R68" t="str">
        <f t="shared" si="3"/>
        <v/>
      </c>
    </row>
    <row r="69" spans="1:18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Q69">
        <f t="shared" si="2"/>
        <v>0</v>
      </c>
      <c r="R69" t="str">
        <f t="shared" si="3"/>
        <v/>
      </c>
    </row>
    <row r="70" spans="1:18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Q70">
        <f t="shared" si="2"/>
        <v>0</v>
      </c>
      <c r="R70" t="str">
        <f t="shared" si="3"/>
        <v/>
      </c>
    </row>
    <row r="71" spans="1:18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Q71">
        <f t="shared" si="2"/>
        <v>0</v>
      </c>
      <c r="R71" t="str">
        <f t="shared" si="3"/>
        <v/>
      </c>
    </row>
    <row r="72" spans="1:18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Q72">
        <f t="shared" si="2"/>
        <v>0</v>
      </c>
      <c r="R72" t="str">
        <f t="shared" si="3"/>
        <v/>
      </c>
    </row>
    <row r="73" spans="1:18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Q73">
        <f t="shared" si="2"/>
        <v>0</v>
      </c>
      <c r="R73" t="str">
        <f t="shared" si="3"/>
        <v/>
      </c>
    </row>
    <row r="74" spans="1:18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Q74">
        <f t="shared" si="2"/>
        <v>0</v>
      </c>
      <c r="R74" t="str">
        <f t="shared" si="3"/>
        <v/>
      </c>
    </row>
    <row r="75" spans="1:18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Q75">
        <f t="shared" si="2"/>
        <v>0</v>
      </c>
      <c r="R75" t="str">
        <f t="shared" si="3"/>
        <v/>
      </c>
    </row>
    <row r="76" spans="1:18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Q76">
        <f t="shared" si="2"/>
        <v>0</v>
      </c>
      <c r="R76" t="str">
        <f t="shared" si="3"/>
        <v/>
      </c>
    </row>
    <row r="77" spans="1:18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  <c r="Q77">
        <f t="shared" si="2"/>
        <v>0</v>
      </c>
      <c r="R77" t="str">
        <f t="shared" si="3"/>
        <v/>
      </c>
    </row>
    <row r="78" spans="1:18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  <c r="Q78">
        <f t="shared" si="2"/>
        <v>0</v>
      </c>
      <c r="R78" t="str">
        <f t="shared" si="3"/>
        <v/>
      </c>
    </row>
    <row r="79" spans="1:18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Q79">
        <f t="shared" si="2"/>
        <v>0</v>
      </c>
      <c r="R79" t="str">
        <f t="shared" si="3"/>
        <v/>
      </c>
    </row>
    <row r="80" spans="1:18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Q80">
        <f t="shared" si="2"/>
        <v>1</v>
      </c>
      <c r="R80" t="str">
        <f t="shared" si="3"/>
        <v/>
      </c>
    </row>
    <row r="81" spans="1:18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Q81">
        <f t="shared" si="2"/>
        <v>0</v>
      </c>
      <c r="R81" t="str">
        <f t="shared" si="3"/>
        <v/>
      </c>
    </row>
    <row r="82" spans="1:18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Q82">
        <f t="shared" si="2"/>
        <v>0</v>
      </c>
      <c r="R82" t="str">
        <f t="shared" si="3"/>
        <v/>
      </c>
    </row>
    <row r="83" spans="1:18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Q83">
        <f t="shared" si="2"/>
        <v>0</v>
      </c>
      <c r="R83" t="str">
        <f t="shared" si="3"/>
        <v/>
      </c>
    </row>
    <row r="84" spans="1:18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Q84">
        <f t="shared" si="2"/>
        <v>0</v>
      </c>
      <c r="R84" t="str">
        <f t="shared" si="3"/>
        <v/>
      </c>
    </row>
    <row r="85" spans="1:18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Q85">
        <f t="shared" si="2"/>
        <v>0</v>
      </c>
      <c r="R85" t="str">
        <f t="shared" si="3"/>
        <v/>
      </c>
    </row>
    <row r="86" spans="1:18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  <c r="Q86">
        <f t="shared" si="2"/>
        <v>0</v>
      </c>
      <c r="R86" t="str">
        <f t="shared" si="3"/>
        <v/>
      </c>
    </row>
    <row r="87" spans="1:18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Q87">
        <f t="shared" si="2"/>
        <v>0</v>
      </c>
      <c r="R87" t="str">
        <f t="shared" si="3"/>
        <v/>
      </c>
    </row>
    <row r="88" spans="1:18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Q88">
        <f t="shared" si="2"/>
        <v>0</v>
      </c>
      <c r="R88" t="str">
        <f t="shared" si="3"/>
        <v/>
      </c>
    </row>
    <row r="89" spans="1:18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Q89">
        <f t="shared" si="2"/>
        <v>0</v>
      </c>
      <c r="R89" t="str">
        <f t="shared" si="3"/>
        <v/>
      </c>
    </row>
    <row r="90" spans="1:18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Q90">
        <f t="shared" si="2"/>
        <v>0</v>
      </c>
      <c r="R90" t="str">
        <f t="shared" si="3"/>
        <v/>
      </c>
    </row>
    <row r="91" spans="1:18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Q91">
        <f t="shared" si="2"/>
        <v>0</v>
      </c>
      <c r="R91" t="str">
        <f t="shared" si="3"/>
        <v/>
      </c>
    </row>
    <row r="92" spans="1:18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Q92">
        <f t="shared" si="2"/>
        <v>0</v>
      </c>
      <c r="R92" t="str">
        <f t="shared" si="3"/>
        <v/>
      </c>
    </row>
    <row r="93" spans="1:18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Q93">
        <f t="shared" si="2"/>
        <v>0</v>
      </c>
      <c r="R93" t="str">
        <f t="shared" si="3"/>
        <v/>
      </c>
    </row>
    <row r="94" spans="1:18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Q94">
        <f t="shared" si="2"/>
        <v>0</v>
      </c>
      <c r="R94" t="str">
        <f t="shared" si="3"/>
        <v/>
      </c>
    </row>
    <row r="95" spans="1:18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Q95">
        <f t="shared" si="2"/>
        <v>0</v>
      </c>
      <c r="R95" t="str">
        <f t="shared" si="3"/>
        <v/>
      </c>
    </row>
    <row r="96" spans="1:18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Q96">
        <f t="shared" si="2"/>
        <v>0</v>
      </c>
      <c r="R96" t="str">
        <f t="shared" si="3"/>
        <v/>
      </c>
    </row>
    <row r="97" spans="1:18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Q97">
        <f t="shared" si="2"/>
        <v>0</v>
      </c>
      <c r="R97" t="str">
        <f t="shared" si="3"/>
        <v/>
      </c>
    </row>
    <row r="98" spans="1:18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Q98">
        <f t="shared" si="2"/>
        <v>0</v>
      </c>
      <c r="R98" t="str">
        <f t="shared" si="3"/>
        <v/>
      </c>
    </row>
    <row r="99" spans="1:18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Q99">
        <f t="shared" si="2"/>
        <v>0</v>
      </c>
      <c r="R99" t="str">
        <f t="shared" si="3"/>
        <v/>
      </c>
    </row>
    <row r="100" spans="1:18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Q100">
        <f t="shared" si="2"/>
        <v>1</v>
      </c>
      <c r="R100" t="str">
        <f t="shared" si="3"/>
        <v/>
      </c>
    </row>
    <row r="101" spans="1:18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Q101">
        <f t="shared" si="2"/>
        <v>0</v>
      </c>
      <c r="R101" t="str">
        <f t="shared" si="3"/>
        <v/>
      </c>
    </row>
    <row r="102" spans="1:18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Q102">
        <f t="shared" si="2"/>
        <v>0</v>
      </c>
      <c r="R102" t="str">
        <f t="shared" si="3"/>
        <v/>
      </c>
    </row>
    <row r="103" spans="1:18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  <c r="Q103">
        <f t="shared" si="2"/>
        <v>0</v>
      </c>
      <c r="R103" t="str">
        <f t="shared" si="3"/>
        <v/>
      </c>
    </row>
    <row r="104" spans="1:18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Q104">
        <f t="shared" si="2"/>
        <v>1</v>
      </c>
      <c r="R104" t="str">
        <f t="shared" si="3"/>
        <v/>
      </c>
    </row>
    <row r="105" spans="1:18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  <c r="Q105">
        <f t="shared" si="2"/>
        <v>0</v>
      </c>
      <c r="R105" t="str">
        <f t="shared" si="3"/>
        <v/>
      </c>
    </row>
    <row r="106" spans="1:18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  <c r="Q106">
        <f t="shared" si="2"/>
        <v>0</v>
      </c>
      <c r="R106" t="str">
        <f t="shared" si="3"/>
        <v/>
      </c>
    </row>
    <row r="107" spans="1:18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  <c r="Q107">
        <f t="shared" si="2"/>
        <v>1</v>
      </c>
      <c r="R107" t="str">
        <f t="shared" si="3"/>
        <v/>
      </c>
    </row>
    <row r="108" spans="1:18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  <c r="Q108">
        <f t="shared" si="2"/>
        <v>0</v>
      </c>
      <c r="R108" t="str">
        <f t="shared" si="3"/>
        <v/>
      </c>
    </row>
    <row r="109" spans="1:18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  <c r="Q109">
        <f t="shared" si="2"/>
        <v>0</v>
      </c>
      <c r="R109" t="str">
        <f t="shared" si="3"/>
        <v/>
      </c>
    </row>
    <row r="110" spans="1:18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  <c r="Q110">
        <f t="shared" si="2"/>
        <v>0</v>
      </c>
      <c r="R110" t="str">
        <f t="shared" si="3"/>
        <v/>
      </c>
    </row>
    <row r="111" spans="1:18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  <c r="Q111">
        <f t="shared" si="2"/>
        <v>0</v>
      </c>
      <c r="R111" t="str">
        <f t="shared" si="3"/>
        <v/>
      </c>
    </row>
    <row r="112" spans="1:18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  <c r="Q112">
        <f t="shared" si="2"/>
        <v>0</v>
      </c>
      <c r="R112" t="str">
        <f t="shared" si="3"/>
        <v/>
      </c>
    </row>
    <row r="113" spans="1:18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  <c r="Q113">
        <f t="shared" si="2"/>
        <v>0</v>
      </c>
      <c r="R113" t="str">
        <f t="shared" si="3"/>
        <v/>
      </c>
    </row>
    <row r="114" spans="1:18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  <c r="Q114">
        <f t="shared" si="2"/>
        <v>0</v>
      </c>
      <c r="R114" t="str">
        <f t="shared" si="3"/>
        <v/>
      </c>
    </row>
    <row r="115" spans="1:18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  <c r="Q115">
        <f t="shared" si="2"/>
        <v>0</v>
      </c>
      <c r="R115" t="str">
        <f t="shared" si="3"/>
        <v/>
      </c>
    </row>
    <row r="116" spans="1:18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  <c r="Q116">
        <f t="shared" si="2"/>
        <v>0</v>
      </c>
      <c r="R116" t="str">
        <f t="shared" si="3"/>
        <v/>
      </c>
    </row>
    <row r="117" spans="1:18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  <c r="Q117">
        <f t="shared" si="2"/>
        <v>0</v>
      </c>
      <c r="R117" t="str">
        <f t="shared" si="3"/>
        <v/>
      </c>
    </row>
    <row r="118" spans="1:18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  <c r="Q118">
        <f t="shared" si="2"/>
        <v>0</v>
      </c>
      <c r="R118" t="str">
        <f t="shared" si="3"/>
        <v/>
      </c>
    </row>
    <row r="119" spans="1:18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  <c r="Q119">
        <f t="shared" si="2"/>
        <v>0</v>
      </c>
      <c r="R119" t="str">
        <f t="shared" si="3"/>
        <v/>
      </c>
    </row>
    <row r="120" spans="1:18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  <c r="Q120">
        <f t="shared" si="2"/>
        <v>0</v>
      </c>
      <c r="R120" t="str">
        <f t="shared" si="3"/>
        <v/>
      </c>
    </row>
    <row r="121" spans="1:18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  <c r="Q121">
        <f t="shared" si="2"/>
        <v>0</v>
      </c>
      <c r="R121" t="str">
        <f t="shared" si="3"/>
        <v/>
      </c>
    </row>
    <row r="122" spans="1:18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  <c r="Q122">
        <f t="shared" si="2"/>
        <v>0</v>
      </c>
      <c r="R122" t="str">
        <f t="shared" si="3"/>
        <v/>
      </c>
    </row>
    <row r="123" spans="1:18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  <c r="Q123">
        <f t="shared" si="2"/>
        <v>0</v>
      </c>
      <c r="R123" t="str">
        <f t="shared" si="3"/>
        <v/>
      </c>
    </row>
    <row r="124" spans="1:18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  <c r="Q124">
        <f t="shared" si="2"/>
        <v>0</v>
      </c>
      <c r="R124" t="str">
        <f t="shared" si="3"/>
        <v/>
      </c>
    </row>
    <row r="125" spans="1:18">
      <c r="A125" t="s">
        <v>155</v>
      </c>
      <c r="B125" s="2">
        <v>45807</v>
      </c>
      <c r="C125" t="s">
        <v>17</v>
      </c>
      <c r="D125" t="s">
        <v>23</v>
      </c>
      <c r="E125" t="s">
        <v>1433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  <c r="Q125">
        <f t="shared" si="2"/>
        <v>0</v>
      </c>
      <c r="R125" t="str">
        <f t="shared" si="3"/>
        <v/>
      </c>
    </row>
    <row r="126" spans="1:18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  <c r="Q126">
        <f t="shared" si="2"/>
        <v>0</v>
      </c>
      <c r="R126" t="str">
        <f t="shared" si="3"/>
        <v/>
      </c>
    </row>
    <row r="127" spans="1:18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  <c r="Q127">
        <f t="shared" si="2"/>
        <v>0</v>
      </c>
      <c r="R127" t="str">
        <f t="shared" si="3"/>
        <v/>
      </c>
    </row>
    <row r="128" spans="1:18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  <c r="Q128">
        <f t="shared" si="2"/>
        <v>0</v>
      </c>
      <c r="R128" t="str">
        <f t="shared" si="3"/>
        <v/>
      </c>
    </row>
    <row r="129" spans="1:18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  <c r="Q129">
        <f t="shared" si="2"/>
        <v>0</v>
      </c>
      <c r="R129" t="str">
        <f t="shared" si="3"/>
        <v/>
      </c>
    </row>
    <row r="130" spans="1:18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  <c r="Q130">
        <f t="shared" si="2"/>
        <v>0</v>
      </c>
      <c r="R130" t="str">
        <f t="shared" si="3"/>
        <v/>
      </c>
    </row>
    <row r="131" spans="1:18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  <c r="Q131">
        <f t="shared" ref="Q131:Q194" si="4">IF(C131="Control",K131,"")</f>
        <v>0</v>
      </c>
      <c r="R131" t="str">
        <f t="shared" ref="R131:R194" si="5">IF(C131="Treatment",K131,"")</f>
        <v/>
      </c>
    </row>
    <row r="132" spans="1:18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  <c r="Q132">
        <f t="shared" si="4"/>
        <v>0</v>
      </c>
      <c r="R132" t="str">
        <f t="shared" si="5"/>
        <v/>
      </c>
    </row>
    <row r="133" spans="1:18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  <c r="Q133">
        <f t="shared" si="4"/>
        <v>0</v>
      </c>
      <c r="R133" t="str">
        <f t="shared" si="5"/>
        <v/>
      </c>
    </row>
    <row r="134" spans="1:18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  <c r="Q134">
        <f t="shared" si="4"/>
        <v>0</v>
      </c>
      <c r="R134" t="str">
        <f t="shared" si="5"/>
        <v/>
      </c>
    </row>
    <row r="135" spans="1:18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  <c r="Q135">
        <f t="shared" si="4"/>
        <v>0</v>
      </c>
      <c r="R135" t="str">
        <f t="shared" si="5"/>
        <v/>
      </c>
    </row>
    <row r="136" spans="1:18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  <c r="Q136">
        <f t="shared" si="4"/>
        <v>0</v>
      </c>
      <c r="R136" t="str">
        <f t="shared" si="5"/>
        <v/>
      </c>
    </row>
    <row r="137" spans="1:18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  <c r="Q137">
        <f t="shared" si="4"/>
        <v>0</v>
      </c>
      <c r="R137" t="str">
        <f t="shared" si="5"/>
        <v/>
      </c>
    </row>
    <row r="138" spans="1:18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  <c r="Q138">
        <f t="shared" si="4"/>
        <v>0</v>
      </c>
      <c r="R138" t="str">
        <f t="shared" si="5"/>
        <v/>
      </c>
    </row>
    <row r="139" spans="1:18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  <c r="Q139">
        <f t="shared" si="4"/>
        <v>0</v>
      </c>
      <c r="R139" t="str">
        <f t="shared" si="5"/>
        <v/>
      </c>
    </row>
    <row r="140" spans="1:18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  <c r="Q140">
        <f t="shared" si="4"/>
        <v>0</v>
      </c>
      <c r="R140" t="str">
        <f t="shared" si="5"/>
        <v/>
      </c>
    </row>
    <row r="141" spans="1:18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  <c r="Q141">
        <f t="shared" si="4"/>
        <v>0</v>
      </c>
      <c r="R141" t="str">
        <f t="shared" si="5"/>
        <v/>
      </c>
    </row>
    <row r="142" spans="1:18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  <c r="Q142">
        <f t="shared" si="4"/>
        <v>0</v>
      </c>
      <c r="R142" t="str">
        <f t="shared" si="5"/>
        <v/>
      </c>
    </row>
    <row r="143" spans="1:18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  <c r="Q143">
        <f t="shared" si="4"/>
        <v>1</v>
      </c>
      <c r="R143" t="str">
        <f t="shared" si="5"/>
        <v/>
      </c>
    </row>
    <row r="144" spans="1:18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  <c r="Q144">
        <f t="shared" si="4"/>
        <v>0</v>
      </c>
      <c r="R144" t="str">
        <f t="shared" si="5"/>
        <v/>
      </c>
    </row>
    <row r="145" spans="1:18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  <c r="Q145">
        <f t="shared" si="4"/>
        <v>0</v>
      </c>
      <c r="R145" t="str">
        <f t="shared" si="5"/>
        <v/>
      </c>
    </row>
    <row r="146" spans="1:18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  <c r="Q146">
        <f t="shared" si="4"/>
        <v>0</v>
      </c>
      <c r="R146" t="str">
        <f t="shared" si="5"/>
        <v/>
      </c>
    </row>
    <row r="147" spans="1:18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  <c r="Q147">
        <f t="shared" si="4"/>
        <v>0</v>
      </c>
      <c r="R147" t="str">
        <f t="shared" si="5"/>
        <v/>
      </c>
    </row>
    <row r="148" spans="1:18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  <c r="Q148">
        <f t="shared" si="4"/>
        <v>0</v>
      </c>
      <c r="R148" t="str">
        <f t="shared" si="5"/>
        <v/>
      </c>
    </row>
    <row r="149" spans="1:18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  <c r="Q149">
        <f t="shared" si="4"/>
        <v>0</v>
      </c>
      <c r="R149" t="str">
        <f t="shared" si="5"/>
        <v/>
      </c>
    </row>
    <row r="150" spans="1:18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  <c r="Q150">
        <f t="shared" si="4"/>
        <v>1</v>
      </c>
      <c r="R150" t="str">
        <f t="shared" si="5"/>
        <v/>
      </c>
    </row>
    <row r="151" spans="1:18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  <c r="Q151">
        <f t="shared" si="4"/>
        <v>0</v>
      </c>
      <c r="R151" t="str">
        <f t="shared" si="5"/>
        <v/>
      </c>
    </row>
    <row r="152" spans="1:18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  <c r="Q152">
        <f t="shared" si="4"/>
        <v>0</v>
      </c>
      <c r="R152" t="str">
        <f t="shared" si="5"/>
        <v/>
      </c>
    </row>
    <row r="153" spans="1:18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  <c r="Q153">
        <f t="shared" si="4"/>
        <v>0</v>
      </c>
      <c r="R153" t="str">
        <f t="shared" si="5"/>
        <v/>
      </c>
    </row>
    <row r="154" spans="1:18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  <c r="Q154">
        <f t="shared" si="4"/>
        <v>0</v>
      </c>
      <c r="R154" t="str">
        <f t="shared" si="5"/>
        <v/>
      </c>
    </row>
    <row r="155" spans="1:18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Q155">
        <f t="shared" si="4"/>
        <v>0</v>
      </c>
      <c r="R155" t="str">
        <f t="shared" si="5"/>
        <v/>
      </c>
    </row>
    <row r="156" spans="1:18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  <c r="Q156">
        <f t="shared" si="4"/>
        <v>0</v>
      </c>
      <c r="R156" t="str">
        <f t="shared" si="5"/>
        <v/>
      </c>
    </row>
    <row r="157" spans="1:18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  <c r="Q157">
        <f t="shared" si="4"/>
        <v>0</v>
      </c>
      <c r="R157" t="str">
        <f t="shared" si="5"/>
        <v/>
      </c>
    </row>
    <row r="158" spans="1:18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  <c r="Q158">
        <f t="shared" si="4"/>
        <v>0</v>
      </c>
      <c r="R158" t="str">
        <f t="shared" si="5"/>
        <v/>
      </c>
    </row>
    <row r="159" spans="1:18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  <c r="Q159">
        <f t="shared" si="4"/>
        <v>0</v>
      </c>
      <c r="R159" t="str">
        <f t="shared" si="5"/>
        <v/>
      </c>
    </row>
    <row r="160" spans="1:18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  <c r="Q160">
        <f t="shared" si="4"/>
        <v>0</v>
      </c>
      <c r="R160" t="str">
        <f t="shared" si="5"/>
        <v/>
      </c>
    </row>
    <row r="161" spans="1:18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  <c r="Q161">
        <f t="shared" si="4"/>
        <v>0</v>
      </c>
      <c r="R161" t="str">
        <f t="shared" si="5"/>
        <v/>
      </c>
    </row>
    <row r="162" spans="1:18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  <c r="Q162">
        <f t="shared" si="4"/>
        <v>0</v>
      </c>
      <c r="R162" t="str">
        <f t="shared" si="5"/>
        <v/>
      </c>
    </row>
    <row r="163" spans="1:18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Q163">
        <f t="shared" si="4"/>
        <v>0</v>
      </c>
      <c r="R163" t="str">
        <f t="shared" si="5"/>
        <v/>
      </c>
    </row>
    <row r="164" spans="1:18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  <c r="Q164">
        <f t="shared" si="4"/>
        <v>0</v>
      </c>
      <c r="R164" t="str">
        <f t="shared" si="5"/>
        <v/>
      </c>
    </row>
    <row r="165" spans="1:18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  <c r="Q165">
        <f t="shared" si="4"/>
        <v>0</v>
      </c>
      <c r="R165" t="str">
        <f t="shared" si="5"/>
        <v/>
      </c>
    </row>
    <row r="166" spans="1:18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  <c r="Q166">
        <f t="shared" si="4"/>
        <v>0</v>
      </c>
      <c r="R166" t="str">
        <f t="shared" si="5"/>
        <v/>
      </c>
    </row>
    <row r="167" spans="1:18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Q167">
        <f t="shared" si="4"/>
        <v>1</v>
      </c>
      <c r="R167" t="str">
        <f t="shared" si="5"/>
        <v/>
      </c>
    </row>
    <row r="168" spans="1:18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  <c r="Q168">
        <f t="shared" si="4"/>
        <v>0</v>
      </c>
      <c r="R168" t="str">
        <f t="shared" si="5"/>
        <v/>
      </c>
    </row>
    <row r="169" spans="1:18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Q169">
        <f t="shared" si="4"/>
        <v>0</v>
      </c>
      <c r="R169" t="str">
        <f t="shared" si="5"/>
        <v/>
      </c>
    </row>
    <row r="170" spans="1:18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  <c r="Q170">
        <f t="shared" si="4"/>
        <v>0</v>
      </c>
      <c r="R170" t="str">
        <f t="shared" si="5"/>
        <v/>
      </c>
    </row>
    <row r="171" spans="1:18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  <c r="Q171">
        <f t="shared" si="4"/>
        <v>0</v>
      </c>
      <c r="R171" t="str">
        <f t="shared" si="5"/>
        <v/>
      </c>
    </row>
    <row r="172" spans="1:18">
      <c r="A172" t="s">
        <v>202</v>
      </c>
      <c r="B172" s="2">
        <v>45806</v>
      </c>
      <c r="C172" t="s">
        <v>17</v>
      </c>
      <c r="D172" t="s">
        <v>28</v>
      </c>
      <c r="E172" t="s">
        <v>1433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  <c r="Q172">
        <f t="shared" si="4"/>
        <v>0</v>
      </c>
      <c r="R172" t="str">
        <f t="shared" si="5"/>
        <v/>
      </c>
    </row>
    <row r="173" spans="1:18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  <c r="Q173">
        <f t="shared" si="4"/>
        <v>0</v>
      </c>
      <c r="R173" t="str">
        <f t="shared" si="5"/>
        <v/>
      </c>
    </row>
    <row r="174" spans="1:18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  <c r="Q174">
        <f t="shared" si="4"/>
        <v>0</v>
      </c>
      <c r="R174" t="str">
        <f t="shared" si="5"/>
        <v/>
      </c>
    </row>
    <row r="175" spans="1:18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  <c r="Q175">
        <f t="shared" si="4"/>
        <v>0</v>
      </c>
      <c r="R175" t="str">
        <f t="shared" si="5"/>
        <v/>
      </c>
    </row>
    <row r="176" spans="1:18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  <c r="Q176">
        <f t="shared" si="4"/>
        <v>0</v>
      </c>
      <c r="R176" t="str">
        <f t="shared" si="5"/>
        <v/>
      </c>
    </row>
    <row r="177" spans="1:18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  <c r="Q177">
        <f t="shared" si="4"/>
        <v>0</v>
      </c>
      <c r="R177" t="str">
        <f t="shared" si="5"/>
        <v/>
      </c>
    </row>
    <row r="178" spans="1:18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  <c r="Q178">
        <f t="shared" si="4"/>
        <v>0</v>
      </c>
      <c r="R178" t="str">
        <f t="shared" si="5"/>
        <v/>
      </c>
    </row>
    <row r="179" spans="1:18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  <c r="Q179">
        <f t="shared" si="4"/>
        <v>0</v>
      </c>
      <c r="R179" t="str">
        <f t="shared" si="5"/>
        <v/>
      </c>
    </row>
    <row r="180" spans="1:18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  <c r="Q180">
        <f t="shared" si="4"/>
        <v>0</v>
      </c>
      <c r="R180" t="str">
        <f t="shared" si="5"/>
        <v/>
      </c>
    </row>
    <row r="181" spans="1:18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  <c r="Q181">
        <f t="shared" si="4"/>
        <v>0</v>
      </c>
      <c r="R181" t="str">
        <f t="shared" si="5"/>
        <v/>
      </c>
    </row>
    <row r="182" spans="1:18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  <c r="Q182">
        <f t="shared" si="4"/>
        <v>0</v>
      </c>
      <c r="R182" t="str">
        <f t="shared" si="5"/>
        <v/>
      </c>
    </row>
    <row r="183" spans="1:18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  <c r="Q183">
        <f t="shared" si="4"/>
        <v>0</v>
      </c>
      <c r="R183" t="str">
        <f t="shared" si="5"/>
        <v/>
      </c>
    </row>
    <row r="184" spans="1:18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  <c r="Q184">
        <f t="shared" si="4"/>
        <v>0</v>
      </c>
      <c r="R184" t="str">
        <f t="shared" si="5"/>
        <v/>
      </c>
    </row>
    <row r="185" spans="1:18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  <c r="Q185">
        <f t="shared" si="4"/>
        <v>0</v>
      </c>
      <c r="R185" t="str">
        <f t="shared" si="5"/>
        <v/>
      </c>
    </row>
    <row r="186" spans="1:18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  <c r="Q186">
        <f t="shared" si="4"/>
        <v>0</v>
      </c>
      <c r="R186" t="str">
        <f t="shared" si="5"/>
        <v/>
      </c>
    </row>
    <row r="187" spans="1:18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  <c r="Q187">
        <f t="shared" si="4"/>
        <v>0</v>
      </c>
      <c r="R187" t="str">
        <f t="shared" si="5"/>
        <v/>
      </c>
    </row>
    <row r="188" spans="1:18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  <c r="Q188">
        <f t="shared" si="4"/>
        <v>0</v>
      </c>
      <c r="R188" t="str">
        <f t="shared" si="5"/>
        <v/>
      </c>
    </row>
    <row r="189" spans="1:18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  <c r="Q189">
        <f t="shared" si="4"/>
        <v>0</v>
      </c>
      <c r="R189" t="str">
        <f t="shared" si="5"/>
        <v/>
      </c>
    </row>
    <row r="190" spans="1:18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  <c r="Q190">
        <f t="shared" si="4"/>
        <v>0</v>
      </c>
      <c r="R190" t="str">
        <f t="shared" si="5"/>
        <v/>
      </c>
    </row>
    <row r="191" spans="1:18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  <c r="Q191">
        <f t="shared" si="4"/>
        <v>0</v>
      </c>
      <c r="R191" t="str">
        <f t="shared" si="5"/>
        <v/>
      </c>
    </row>
    <row r="192" spans="1:18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  <c r="Q192">
        <f t="shared" si="4"/>
        <v>0</v>
      </c>
      <c r="R192" t="str">
        <f t="shared" si="5"/>
        <v/>
      </c>
    </row>
    <row r="193" spans="1:18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  <c r="Q193">
        <f t="shared" si="4"/>
        <v>0</v>
      </c>
      <c r="R193" t="str">
        <f t="shared" si="5"/>
        <v/>
      </c>
    </row>
    <row r="194" spans="1:18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  <c r="Q194">
        <f t="shared" si="4"/>
        <v>0</v>
      </c>
      <c r="R194" t="str">
        <f t="shared" si="5"/>
        <v/>
      </c>
    </row>
    <row r="195" spans="1:18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  <c r="Q195">
        <f t="shared" ref="Q195:Q258" si="6">IF(C195="Control",K195,"")</f>
        <v>0</v>
      </c>
      <c r="R195" t="str">
        <f t="shared" ref="R195:R258" si="7">IF(C195="Treatment",K195,"")</f>
        <v/>
      </c>
    </row>
    <row r="196" spans="1:18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  <c r="Q196">
        <f t="shared" si="6"/>
        <v>0</v>
      </c>
      <c r="R196" t="str">
        <f t="shared" si="7"/>
        <v/>
      </c>
    </row>
    <row r="197" spans="1:18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  <c r="Q197">
        <f t="shared" si="6"/>
        <v>0</v>
      </c>
      <c r="R197" t="str">
        <f t="shared" si="7"/>
        <v/>
      </c>
    </row>
    <row r="198" spans="1:18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Q198">
        <f t="shared" si="6"/>
        <v>1</v>
      </c>
      <c r="R198" t="str">
        <f t="shared" si="7"/>
        <v/>
      </c>
    </row>
    <row r="199" spans="1:18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  <c r="Q199">
        <f t="shared" si="6"/>
        <v>0</v>
      </c>
      <c r="R199" t="str">
        <f t="shared" si="7"/>
        <v/>
      </c>
    </row>
    <row r="200" spans="1:18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  <c r="Q200">
        <f t="shared" si="6"/>
        <v>0</v>
      </c>
      <c r="R200" t="str">
        <f t="shared" si="7"/>
        <v/>
      </c>
    </row>
    <row r="201" spans="1:18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  <c r="Q201">
        <f t="shared" si="6"/>
        <v>0</v>
      </c>
      <c r="R201" t="str">
        <f t="shared" si="7"/>
        <v/>
      </c>
    </row>
    <row r="202" spans="1:18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  <c r="Q202">
        <f t="shared" si="6"/>
        <v>0</v>
      </c>
      <c r="R202" t="str">
        <f t="shared" si="7"/>
        <v/>
      </c>
    </row>
    <row r="203" spans="1:18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  <c r="Q203">
        <f t="shared" si="6"/>
        <v>0</v>
      </c>
      <c r="R203" t="str">
        <f t="shared" si="7"/>
        <v/>
      </c>
    </row>
    <row r="204" spans="1:18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  <c r="Q204">
        <f t="shared" si="6"/>
        <v>0</v>
      </c>
      <c r="R204" t="str">
        <f t="shared" si="7"/>
        <v/>
      </c>
    </row>
    <row r="205" spans="1:18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  <c r="Q205">
        <f t="shared" si="6"/>
        <v>0</v>
      </c>
      <c r="R205" t="str">
        <f t="shared" si="7"/>
        <v/>
      </c>
    </row>
    <row r="206" spans="1:18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  <c r="Q206">
        <f t="shared" si="6"/>
        <v>0</v>
      </c>
      <c r="R206" t="str">
        <f t="shared" si="7"/>
        <v/>
      </c>
    </row>
    <row r="207" spans="1:18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  <c r="Q207">
        <f t="shared" si="6"/>
        <v>0</v>
      </c>
      <c r="R207" t="str">
        <f t="shared" si="7"/>
        <v/>
      </c>
    </row>
    <row r="208" spans="1:18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  <c r="Q208">
        <f t="shared" si="6"/>
        <v>0</v>
      </c>
      <c r="R208" t="str">
        <f t="shared" si="7"/>
        <v/>
      </c>
    </row>
    <row r="209" spans="1:18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  <c r="Q209">
        <f t="shared" si="6"/>
        <v>0</v>
      </c>
      <c r="R209" t="str">
        <f t="shared" si="7"/>
        <v/>
      </c>
    </row>
    <row r="210" spans="1:18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  <c r="Q210">
        <f t="shared" si="6"/>
        <v>0</v>
      </c>
      <c r="R210" t="str">
        <f t="shared" si="7"/>
        <v/>
      </c>
    </row>
    <row r="211" spans="1:18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  <c r="Q211">
        <f t="shared" si="6"/>
        <v>0</v>
      </c>
      <c r="R211" t="str">
        <f t="shared" si="7"/>
        <v/>
      </c>
    </row>
    <row r="212" spans="1:18">
      <c r="A212" t="s">
        <v>242</v>
      </c>
      <c r="B212" s="2">
        <v>45739</v>
      </c>
      <c r="C212" t="s">
        <v>17</v>
      </c>
      <c r="D212" t="s">
        <v>28</v>
      </c>
      <c r="E212" t="s">
        <v>1433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Q212">
        <f t="shared" si="6"/>
        <v>1</v>
      </c>
      <c r="R212" t="str">
        <f t="shared" si="7"/>
        <v/>
      </c>
    </row>
    <row r="213" spans="1:18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  <c r="Q213">
        <f t="shared" si="6"/>
        <v>0</v>
      </c>
      <c r="R213" t="str">
        <f t="shared" si="7"/>
        <v/>
      </c>
    </row>
    <row r="214" spans="1:18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  <c r="Q214">
        <f t="shared" si="6"/>
        <v>0</v>
      </c>
      <c r="R214" t="str">
        <f t="shared" si="7"/>
        <v/>
      </c>
    </row>
    <row r="215" spans="1:18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  <c r="Q215">
        <f t="shared" si="6"/>
        <v>0</v>
      </c>
      <c r="R215" t="str">
        <f t="shared" si="7"/>
        <v/>
      </c>
    </row>
    <row r="216" spans="1:18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  <c r="Q216">
        <f t="shared" si="6"/>
        <v>0</v>
      </c>
      <c r="R216" t="str">
        <f t="shared" si="7"/>
        <v/>
      </c>
    </row>
    <row r="217" spans="1:18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  <c r="Q217">
        <f t="shared" si="6"/>
        <v>0</v>
      </c>
      <c r="R217" t="str">
        <f t="shared" si="7"/>
        <v/>
      </c>
    </row>
    <row r="218" spans="1:18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  <c r="Q218">
        <f t="shared" si="6"/>
        <v>0</v>
      </c>
      <c r="R218" t="str">
        <f t="shared" si="7"/>
        <v/>
      </c>
    </row>
    <row r="219" spans="1:18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Q219">
        <f t="shared" si="6"/>
        <v>0</v>
      </c>
      <c r="R219" t="str">
        <f t="shared" si="7"/>
        <v/>
      </c>
    </row>
    <row r="220" spans="1:18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  <c r="Q220">
        <f t="shared" si="6"/>
        <v>0</v>
      </c>
      <c r="R220" t="str">
        <f t="shared" si="7"/>
        <v/>
      </c>
    </row>
    <row r="221" spans="1:18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  <c r="Q221">
        <f t="shared" si="6"/>
        <v>0</v>
      </c>
      <c r="R221" t="str">
        <f t="shared" si="7"/>
        <v/>
      </c>
    </row>
    <row r="222" spans="1:18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  <c r="Q222">
        <f t="shared" si="6"/>
        <v>0</v>
      </c>
      <c r="R222" t="str">
        <f t="shared" si="7"/>
        <v/>
      </c>
    </row>
    <row r="223" spans="1:18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  <c r="Q223">
        <f t="shared" si="6"/>
        <v>0</v>
      </c>
      <c r="R223" t="str">
        <f t="shared" si="7"/>
        <v/>
      </c>
    </row>
    <row r="224" spans="1:18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  <c r="Q224">
        <f t="shared" si="6"/>
        <v>0</v>
      </c>
      <c r="R224" t="str">
        <f t="shared" si="7"/>
        <v/>
      </c>
    </row>
    <row r="225" spans="1:18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  <c r="Q225">
        <f t="shared" si="6"/>
        <v>0</v>
      </c>
      <c r="R225" t="str">
        <f t="shared" si="7"/>
        <v/>
      </c>
    </row>
    <row r="226" spans="1:18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  <c r="Q226">
        <f t="shared" si="6"/>
        <v>0</v>
      </c>
      <c r="R226" t="str">
        <f t="shared" si="7"/>
        <v/>
      </c>
    </row>
    <row r="227" spans="1:18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  <c r="Q227">
        <f t="shared" si="6"/>
        <v>0</v>
      </c>
      <c r="R227" t="str">
        <f t="shared" si="7"/>
        <v/>
      </c>
    </row>
    <row r="228" spans="1:18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  <c r="Q228">
        <f t="shared" si="6"/>
        <v>0</v>
      </c>
      <c r="R228" t="str">
        <f t="shared" si="7"/>
        <v/>
      </c>
    </row>
    <row r="229" spans="1:18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  <c r="Q229">
        <f t="shared" si="6"/>
        <v>0</v>
      </c>
      <c r="R229" t="str">
        <f t="shared" si="7"/>
        <v/>
      </c>
    </row>
    <row r="230" spans="1:18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  <c r="Q230">
        <f t="shared" si="6"/>
        <v>0</v>
      </c>
      <c r="R230" t="str">
        <f t="shared" si="7"/>
        <v/>
      </c>
    </row>
    <row r="231" spans="1:18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  <c r="Q231">
        <f t="shared" si="6"/>
        <v>0</v>
      </c>
      <c r="R231" t="str">
        <f t="shared" si="7"/>
        <v/>
      </c>
    </row>
    <row r="232" spans="1:18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  <c r="Q232">
        <f t="shared" si="6"/>
        <v>0</v>
      </c>
      <c r="R232" t="str">
        <f t="shared" si="7"/>
        <v/>
      </c>
    </row>
    <row r="233" spans="1:18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  <c r="Q233">
        <f t="shared" si="6"/>
        <v>0</v>
      </c>
      <c r="R233" t="str">
        <f t="shared" si="7"/>
        <v/>
      </c>
    </row>
    <row r="234" spans="1:18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  <c r="Q234">
        <f t="shared" si="6"/>
        <v>0</v>
      </c>
      <c r="R234" t="str">
        <f t="shared" si="7"/>
        <v/>
      </c>
    </row>
    <row r="235" spans="1:18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  <c r="Q235">
        <f t="shared" si="6"/>
        <v>0</v>
      </c>
      <c r="R235" t="str">
        <f t="shared" si="7"/>
        <v/>
      </c>
    </row>
    <row r="236" spans="1:18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  <c r="Q236">
        <f t="shared" si="6"/>
        <v>0</v>
      </c>
      <c r="R236" t="str">
        <f t="shared" si="7"/>
        <v/>
      </c>
    </row>
    <row r="237" spans="1:18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  <c r="Q237">
        <f t="shared" si="6"/>
        <v>0</v>
      </c>
      <c r="R237" t="str">
        <f t="shared" si="7"/>
        <v/>
      </c>
    </row>
    <row r="238" spans="1:18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  <c r="Q238">
        <f t="shared" si="6"/>
        <v>0</v>
      </c>
      <c r="R238" t="str">
        <f t="shared" si="7"/>
        <v/>
      </c>
    </row>
    <row r="239" spans="1:18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  <c r="Q239">
        <f t="shared" si="6"/>
        <v>0</v>
      </c>
      <c r="R239" t="str">
        <f t="shared" si="7"/>
        <v/>
      </c>
    </row>
    <row r="240" spans="1:18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  <c r="Q240">
        <f t="shared" si="6"/>
        <v>0</v>
      </c>
      <c r="R240" t="str">
        <f t="shared" si="7"/>
        <v/>
      </c>
    </row>
    <row r="241" spans="1:18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  <c r="Q241">
        <f t="shared" si="6"/>
        <v>0</v>
      </c>
      <c r="R241" t="str">
        <f t="shared" si="7"/>
        <v/>
      </c>
    </row>
    <row r="242" spans="1:18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  <c r="Q242">
        <f t="shared" si="6"/>
        <v>0</v>
      </c>
      <c r="R242" t="str">
        <f t="shared" si="7"/>
        <v/>
      </c>
    </row>
    <row r="243" spans="1:18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  <c r="Q243">
        <f t="shared" si="6"/>
        <v>0</v>
      </c>
      <c r="R243" t="str">
        <f t="shared" si="7"/>
        <v/>
      </c>
    </row>
    <row r="244" spans="1:18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  <c r="Q244">
        <f t="shared" si="6"/>
        <v>0</v>
      </c>
      <c r="R244" t="str">
        <f t="shared" si="7"/>
        <v/>
      </c>
    </row>
    <row r="245" spans="1:18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  <c r="Q245">
        <f t="shared" si="6"/>
        <v>0</v>
      </c>
      <c r="R245" t="str">
        <f t="shared" si="7"/>
        <v/>
      </c>
    </row>
    <row r="246" spans="1:18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  <c r="Q246">
        <f t="shared" si="6"/>
        <v>0</v>
      </c>
      <c r="R246" t="str">
        <f t="shared" si="7"/>
        <v/>
      </c>
    </row>
    <row r="247" spans="1:18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  <c r="Q247">
        <f t="shared" si="6"/>
        <v>0</v>
      </c>
      <c r="R247" t="str">
        <f t="shared" si="7"/>
        <v/>
      </c>
    </row>
    <row r="248" spans="1:18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  <c r="Q248">
        <f t="shared" si="6"/>
        <v>0</v>
      </c>
      <c r="R248" t="str">
        <f t="shared" si="7"/>
        <v/>
      </c>
    </row>
    <row r="249" spans="1:18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  <c r="Q249">
        <f t="shared" si="6"/>
        <v>0</v>
      </c>
      <c r="R249" t="str">
        <f t="shared" si="7"/>
        <v/>
      </c>
    </row>
    <row r="250" spans="1:18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  <c r="Q250">
        <f t="shared" si="6"/>
        <v>0</v>
      </c>
      <c r="R250" t="str">
        <f t="shared" si="7"/>
        <v/>
      </c>
    </row>
    <row r="251" spans="1:18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  <c r="Q251">
        <f t="shared" si="6"/>
        <v>0</v>
      </c>
      <c r="R251" t="str">
        <f t="shared" si="7"/>
        <v/>
      </c>
    </row>
    <row r="252" spans="1:18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Q252">
        <f t="shared" si="6"/>
        <v>1</v>
      </c>
      <c r="R252" t="str">
        <f t="shared" si="7"/>
        <v/>
      </c>
    </row>
    <row r="253" spans="1:18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  <c r="Q253">
        <f t="shared" si="6"/>
        <v>0</v>
      </c>
      <c r="R253" t="str">
        <f t="shared" si="7"/>
        <v/>
      </c>
    </row>
    <row r="254" spans="1:18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  <c r="Q254">
        <f t="shared" si="6"/>
        <v>0</v>
      </c>
      <c r="R254" t="str">
        <f t="shared" si="7"/>
        <v/>
      </c>
    </row>
    <row r="255" spans="1:18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  <c r="Q255">
        <f t="shared" si="6"/>
        <v>0</v>
      </c>
      <c r="R255" t="str">
        <f t="shared" si="7"/>
        <v/>
      </c>
    </row>
    <row r="256" spans="1:18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  <c r="Q256">
        <f t="shared" si="6"/>
        <v>0</v>
      </c>
      <c r="R256" t="str">
        <f t="shared" si="7"/>
        <v/>
      </c>
    </row>
    <row r="257" spans="1:18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  <c r="Q257">
        <f t="shared" si="6"/>
        <v>0</v>
      </c>
      <c r="R257" t="str">
        <f t="shared" si="7"/>
        <v/>
      </c>
    </row>
    <row r="258" spans="1:18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  <c r="Q258">
        <f t="shared" si="6"/>
        <v>0</v>
      </c>
      <c r="R258" t="str">
        <f t="shared" si="7"/>
        <v/>
      </c>
    </row>
    <row r="259" spans="1:18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  <c r="Q259">
        <f t="shared" ref="Q259:Q322" si="8">IF(C259="Control",K259,"")</f>
        <v>0</v>
      </c>
      <c r="R259" t="str">
        <f t="shared" ref="R259:R322" si="9">IF(C259="Treatment",K259,"")</f>
        <v/>
      </c>
    </row>
    <row r="260" spans="1:18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  <c r="Q260">
        <f t="shared" si="8"/>
        <v>0</v>
      </c>
      <c r="R260" t="str">
        <f t="shared" si="9"/>
        <v/>
      </c>
    </row>
    <row r="261" spans="1:18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  <c r="Q261">
        <f t="shared" si="8"/>
        <v>0</v>
      </c>
      <c r="R261" t="str">
        <f t="shared" si="9"/>
        <v/>
      </c>
    </row>
    <row r="262" spans="1:18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  <c r="Q262">
        <f t="shared" si="8"/>
        <v>0</v>
      </c>
      <c r="R262" t="str">
        <f t="shared" si="9"/>
        <v/>
      </c>
    </row>
    <row r="263" spans="1:18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  <c r="Q263">
        <f t="shared" si="8"/>
        <v>0</v>
      </c>
      <c r="R263" t="str">
        <f t="shared" si="9"/>
        <v/>
      </c>
    </row>
    <row r="264" spans="1:18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  <c r="Q264">
        <f t="shared" si="8"/>
        <v>0</v>
      </c>
      <c r="R264" t="str">
        <f t="shared" si="9"/>
        <v/>
      </c>
    </row>
    <row r="265" spans="1:18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  <c r="Q265">
        <f t="shared" si="8"/>
        <v>0</v>
      </c>
      <c r="R265" t="str">
        <f t="shared" si="9"/>
        <v/>
      </c>
    </row>
    <row r="266" spans="1:18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  <c r="Q266">
        <f t="shared" si="8"/>
        <v>0</v>
      </c>
      <c r="R266" t="str">
        <f t="shared" si="9"/>
        <v/>
      </c>
    </row>
    <row r="267" spans="1:18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  <c r="Q267">
        <f t="shared" si="8"/>
        <v>0</v>
      </c>
      <c r="R267" t="str">
        <f t="shared" si="9"/>
        <v/>
      </c>
    </row>
    <row r="268" spans="1:18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  <c r="Q268">
        <f t="shared" si="8"/>
        <v>0</v>
      </c>
      <c r="R268" t="str">
        <f t="shared" si="9"/>
        <v/>
      </c>
    </row>
    <row r="269" spans="1:18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  <c r="Q269">
        <f t="shared" si="8"/>
        <v>0</v>
      </c>
      <c r="R269" t="str">
        <f t="shared" si="9"/>
        <v/>
      </c>
    </row>
    <row r="270" spans="1:18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  <c r="Q270">
        <f t="shared" si="8"/>
        <v>0</v>
      </c>
      <c r="R270" t="str">
        <f t="shared" si="9"/>
        <v/>
      </c>
    </row>
    <row r="271" spans="1:18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  <c r="Q271">
        <f t="shared" si="8"/>
        <v>0</v>
      </c>
      <c r="R271" t="str">
        <f t="shared" si="9"/>
        <v/>
      </c>
    </row>
    <row r="272" spans="1:18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  <c r="Q272">
        <f t="shared" si="8"/>
        <v>0</v>
      </c>
      <c r="R272" t="str">
        <f t="shared" si="9"/>
        <v/>
      </c>
    </row>
    <row r="273" spans="1:18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  <c r="Q273">
        <f t="shared" si="8"/>
        <v>0</v>
      </c>
      <c r="R273" t="str">
        <f t="shared" si="9"/>
        <v/>
      </c>
    </row>
    <row r="274" spans="1:18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  <c r="Q274">
        <f t="shared" si="8"/>
        <v>0</v>
      </c>
      <c r="R274" t="str">
        <f t="shared" si="9"/>
        <v/>
      </c>
    </row>
    <row r="275" spans="1:18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  <c r="Q275">
        <f t="shared" si="8"/>
        <v>0</v>
      </c>
      <c r="R275" t="str">
        <f t="shared" si="9"/>
        <v/>
      </c>
    </row>
    <row r="276" spans="1:18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  <c r="Q276">
        <f t="shared" si="8"/>
        <v>0</v>
      </c>
      <c r="R276" t="str">
        <f t="shared" si="9"/>
        <v/>
      </c>
    </row>
    <row r="277" spans="1:18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  <c r="Q277">
        <f t="shared" si="8"/>
        <v>0</v>
      </c>
      <c r="R277" t="str">
        <f t="shared" si="9"/>
        <v/>
      </c>
    </row>
    <row r="278" spans="1:18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  <c r="Q278">
        <f t="shared" si="8"/>
        <v>0</v>
      </c>
      <c r="R278" t="str">
        <f t="shared" si="9"/>
        <v/>
      </c>
    </row>
    <row r="279" spans="1:18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  <c r="Q279">
        <f t="shared" si="8"/>
        <v>0</v>
      </c>
      <c r="R279" t="str">
        <f t="shared" si="9"/>
        <v/>
      </c>
    </row>
    <row r="280" spans="1:18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  <c r="Q280">
        <f t="shared" si="8"/>
        <v>0</v>
      </c>
      <c r="R280" t="str">
        <f t="shared" si="9"/>
        <v/>
      </c>
    </row>
    <row r="281" spans="1:18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  <c r="Q281">
        <f t="shared" si="8"/>
        <v>0</v>
      </c>
      <c r="R281" t="str">
        <f t="shared" si="9"/>
        <v/>
      </c>
    </row>
    <row r="282" spans="1:18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  <c r="Q282">
        <f t="shared" si="8"/>
        <v>0</v>
      </c>
      <c r="R282" t="str">
        <f t="shared" si="9"/>
        <v/>
      </c>
    </row>
    <row r="283" spans="1:18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  <c r="Q283">
        <f t="shared" si="8"/>
        <v>0</v>
      </c>
      <c r="R283" t="str">
        <f t="shared" si="9"/>
        <v/>
      </c>
    </row>
    <row r="284" spans="1:18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  <c r="Q284">
        <f t="shared" si="8"/>
        <v>0</v>
      </c>
      <c r="R284" t="str">
        <f t="shared" si="9"/>
        <v/>
      </c>
    </row>
    <row r="285" spans="1:18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  <c r="Q285">
        <f t="shared" si="8"/>
        <v>0</v>
      </c>
      <c r="R285" t="str">
        <f t="shared" si="9"/>
        <v/>
      </c>
    </row>
    <row r="286" spans="1:18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  <c r="Q286">
        <f t="shared" si="8"/>
        <v>0</v>
      </c>
      <c r="R286" t="str">
        <f t="shared" si="9"/>
        <v/>
      </c>
    </row>
    <row r="287" spans="1:18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  <c r="Q287">
        <f t="shared" si="8"/>
        <v>0</v>
      </c>
      <c r="R287" t="str">
        <f t="shared" si="9"/>
        <v/>
      </c>
    </row>
    <row r="288" spans="1:18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  <c r="Q288">
        <f t="shared" si="8"/>
        <v>0</v>
      </c>
      <c r="R288" t="str">
        <f t="shared" si="9"/>
        <v/>
      </c>
    </row>
    <row r="289" spans="1:18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  <c r="Q289">
        <f t="shared" si="8"/>
        <v>0</v>
      </c>
      <c r="R289" t="str">
        <f t="shared" si="9"/>
        <v/>
      </c>
    </row>
    <row r="290" spans="1:18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  <c r="Q290">
        <f t="shared" si="8"/>
        <v>0</v>
      </c>
      <c r="R290" t="str">
        <f t="shared" si="9"/>
        <v/>
      </c>
    </row>
    <row r="291" spans="1:18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  <c r="Q291">
        <f t="shared" si="8"/>
        <v>0</v>
      </c>
      <c r="R291" t="str">
        <f t="shared" si="9"/>
        <v/>
      </c>
    </row>
    <row r="292" spans="1:18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  <c r="Q292">
        <f t="shared" si="8"/>
        <v>0</v>
      </c>
      <c r="R292" t="str">
        <f t="shared" si="9"/>
        <v/>
      </c>
    </row>
    <row r="293" spans="1:18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  <c r="Q293">
        <f t="shared" si="8"/>
        <v>0</v>
      </c>
      <c r="R293" t="str">
        <f t="shared" si="9"/>
        <v/>
      </c>
    </row>
    <row r="294" spans="1:18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  <c r="Q294">
        <f t="shared" si="8"/>
        <v>0</v>
      </c>
      <c r="R294" t="str">
        <f t="shared" si="9"/>
        <v/>
      </c>
    </row>
    <row r="295" spans="1:18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  <c r="Q295">
        <f t="shared" si="8"/>
        <v>0</v>
      </c>
      <c r="R295" t="str">
        <f t="shared" si="9"/>
        <v/>
      </c>
    </row>
    <row r="296" spans="1:18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  <c r="Q296">
        <f t="shared" si="8"/>
        <v>0</v>
      </c>
      <c r="R296" t="str">
        <f t="shared" si="9"/>
        <v/>
      </c>
    </row>
    <row r="297" spans="1:18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  <c r="Q297">
        <f t="shared" si="8"/>
        <v>0</v>
      </c>
      <c r="R297" t="str">
        <f t="shared" si="9"/>
        <v/>
      </c>
    </row>
    <row r="298" spans="1:18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  <c r="Q298">
        <f t="shared" si="8"/>
        <v>0</v>
      </c>
      <c r="R298" t="str">
        <f t="shared" si="9"/>
        <v/>
      </c>
    </row>
    <row r="299" spans="1:18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  <c r="Q299">
        <f t="shared" si="8"/>
        <v>0</v>
      </c>
      <c r="R299" t="str">
        <f t="shared" si="9"/>
        <v/>
      </c>
    </row>
    <row r="300" spans="1:18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  <c r="Q300">
        <f t="shared" si="8"/>
        <v>0</v>
      </c>
      <c r="R300" t="str">
        <f t="shared" si="9"/>
        <v/>
      </c>
    </row>
    <row r="301" spans="1:18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F301" t="s">
        <v>1433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  <c r="Q301">
        <f t="shared" si="8"/>
        <v>1</v>
      </c>
      <c r="R301" t="str">
        <f t="shared" si="9"/>
        <v/>
      </c>
    </row>
    <row r="302" spans="1:18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  <c r="Q302">
        <f t="shared" si="8"/>
        <v>0</v>
      </c>
      <c r="R302" t="str">
        <f t="shared" si="9"/>
        <v/>
      </c>
    </row>
    <row r="303" spans="1:18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  <c r="Q303">
        <f t="shared" si="8"/>
        <v>0</v>
      </c>
      <c r="R303" t="str">
        <f t="shared" si="9"/>
        <v/>
      </c>
    </row>
    <row r="304" spans="1:18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Q304">
        <f t="shared" si="8"/>
        <v>1</v>
      </c>
      <c r="R304" t="str">
        <f t="shared" si="9"/>
        <v/>
      </c>
    </row>
    <row r="305" spans="1:18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  <c r="Q305">
        <f t="shared" si="8"/>
        <v>0</v>
      </c>
      <c r="R305" t="str">
        <f t="shared" si="9"/>
        <v/>
      </c>
    </row>
    <row r="306" spans="1:18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  <c r="Q306">
        <f t="shared" si="8"/>
        <v>0</v>
      </c>
      <c r="R306" t="str">
        <f t="shared" si="9"/>
        <v/>
      </c>
    </row>
    <row r="307" spans="1:18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  <c r="Q307">
        <f t="shared" si="8"/>
        <v>0</v>
      </c>
      <c r="R307" t="str">
        <f t="shared" si="9"/>
        <v/>
      </c>
    </row>
    <row r="308" spans="1:18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  <c r="Q308">
        <f t="shared" si="8"/>
        <v>0</v>
      </c>
      <c r="R308" t="str">
        <f t="shared" si="9"/>
        <v/>
      </c>
    </row>
    <row r="309" spans="1:18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  <c r="Q309">
        <f t="shared" si="8"/>
        <v>1</v>
      </c>
      <c r="R309" t="str">
        <f t="shared" si="9"/>
        <v/>
      </c>
    </row>
    <row r="310" spans="1:18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  <c r="Q310">
        <f t="shared" si="8"/>
        <v>0</v>
      </c>
      <c r="R310" t="str">
        <f t="shared" si="9"/>
        <v/>
      </c>
    </row>
    <row r="311" spans="1:18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  <c r="Q311">
        <f t="shared" si="8"/>
        <v>0</v>
      </c>
      <c r="R311" t="str">
        <f t="shared" si="9"/>
        <v/>
      </c>
    </row>
    <row r="312" spans="1:18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  <c r="Q312">
        <f t="shared" si="8"/>
        <v>0</v>
      </c>
      <c r="R312" t="str">
        <f t="shared" si="9"/>
        <v/>
      </c>
    </row>
    <row r="313" spans="1:18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  <c r="Q313">
        <f t="shared" si="8"/>
        <v>0</v>
      </c>
      <c r="R313" t="str">
        <f t="shared" si="9"/>
        <v/>
      </c>
    </row>
    <row r="314" spans="1:18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  <c r="Q314">
        <f t="shared" si="8"/>
        <v>0</v>
      </c>
      <c r="R314" t="str">
        <f t="shared" si="9"/>
        <v/>
      </c>
    </row>
    <row r="315" spans="1:18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  <c r="Q315">
        <f t="shared" si="8"/>
        <v>0</v>
      </c>
      <c r="R315" t="str">
        <f t="shared" si="9"/>
        <v/>
      </c>
    </row>
    <row r="316" spans="1:18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  <c r="Q316">
        <f t="shared" si="8"/>
        <v>0</v>
      </c>
      <c r="R316" t="str">
        <f t="shared" si="9"/>
        <v/>
      </c>
    </row>
    <row r="317" spans="1:18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  <c r="Q317">
        <f t="shared" si="8"/>
        <v>0</v>
      </c>
      <c r="R317" t="str">
        <f t="shared" si="9"/>
        <v/>
      </c>
    </row>
    <row r="318" spans="1:18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  <c r="Q318">
        <f t="shared" si="8"/>
        <v>0</v>
      </c>
      <c r="R318" t="str">
        <f t="shared" si="9"/>
        <v/>
      </c>
    </row>
    <row r="319" spans="1:18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  <c r="Q319">
        <f t="shared" si="8"/>
        <v>0</v>
      </c>
      <c r="R319" t="str">
        <f t="shared" si="9"/>
        <v/>
      </c>
    </row>
    <row r="320" spans="1:18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  <c r="Q320">
        <f t="shared" si="8"/>
        <v>0</v>
      </c>
      <c r="R320" t="str">
        <f t="shared" si="9"/>
        <v/>
      </c>
    </row>
    <row r="321" spans="1:18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  <c r="Q321">
        <f t="shared" si="8"/>
        <v>0</v>
      </c>
      <c r="R321" t="str">
        <f t="shared" si="9"/>
        <v/>
      </c>
    </row>
    <row r="322" spans="1:18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  <c r="Q322">
        <f t="shared" si="8"/>
        <v>0</v>
      </c>
      <c r="R322" t="str">
        <f t="shared" si="9"/>
        <v/>
      </c>
    </row>
    <row r="323" spans="1:18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  <c r="Q323">
        <f t="shared" ref="Q323:Q386" si="10">IF(C323="Control",K323,"")</f>
        <v>0</v>
      </c>
      <c r="R323" t="str">
        <f t="shared" ref="R323:R386" si="11">IF(C323="Treatment",K323,"")</f>
        <v/>
      </c>
    </row>
    <row r="324" spans="1:18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  <c r="Q324">
        <f t="shared" si="10"/>
        <v>0</v>
      </c>
      <c r="R324" t="str">
        <f t="shared" si="11"/>
        <v/>
      </c>
    </row>
    <row r="325" spans="1:18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  <c r="Q325">
        <f t="shared" si="10"/>
        <v>0</v>
      </c>
      <c r="R325" t="str">
        <f t="shared" si="11"/>
        <v/>
      </c>
    </row>
    <row r="326" spans="1:18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  <c r="Q326">
        <f t="shared" si="10"/>
        <v>0</v>
      </c>
      <c r="R326" t="str">
        <f t="shared" si="11"/>
        <v/>
      </c>
    </row>
    <row r="327" spans="1:18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  <c r="Q327">
        <f t="shared" si="10"/>
        <v>0</v>
      </c>
      <c r="R327" t="str">
        <f t="shared" si="11"/>
        <v/>
      </c>
    </row>
    <row r="328" spans="1:18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  <c r="Q328">
        <f t="shared" si="10"/>
        <v>0</v>
      </c>
      <c r="R328" t="str">
        <f t="shared" si="11"/>
        <v/>
      </c>
    </row>
    <row r="329" spans="1:18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  <c r="Q329">
        <f t="shared" si="10"/>
        <v>0</v>
      </c>
      <c r="R329" t="str">
        <f t="shared" si="11"/>
        <v/>
      </c>
    </row>
    <row r="330" spans="1:18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  <c r="Q330">
        <f t="shared" si="10"/>
        <v>0</v>
      </c>
      <c r="R330" t="str">
        <f t="shared" si="11"/>
        <v/>
      </c>
    </row>
    <row r="331" spans="1:18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  <c r="Q331">
        <f t="shared" si="10"/>
        <v>0</v>
      </c>
      <c r="R331" t="str">
        <f t="shared" si="11"/>
        <v/>
      </c>
    </row>
    <row r="332" spans="1:18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Q332">
        <f t="shared" si="10"/>
        <v>1</v>
      </c>
      <c r="R332" t="str">
        <f t="shared" si="11"/>
        <v/>
      </c>
    </row>
    <row r="333" spans="1:18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  <c r="Q333">
        <f t="shared" si="10"/>
        <v>0</v>
      </c>
      <c r="R333" t="str">
        <f t="shared" si="11"/>
        <v/>
      </c>
    </row>
    <row r="334" spans="1:18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  <c r="Q334">
        <f t="shared" si="10"/>
        <v>0</v>
      </c>
      <c r="R334" t="str">
        <f t="shared" si="11"/>
        <v/>
      </c>
    </row>
    <row r="335" spans="1:18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  <c r="Q335">
        <f t="shared" si="10"/>
        <v>0</v>
      </c>
      <c r="R335" t="str">
        <f t="shared" si="11"/>
        <v/>
      </c>
    </row>
    <row r="336" spans="1:18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Q336">
        <f t="shared" si="10"/>
        <v>1</v>
      </c>
      <c r="R336" t="str">
        <f t="shared" si="11"/>
        <v/>
      </c>
    </row>
    <row r="337" spans="1:18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Q337">
        <f t="shared" si="10"/>
        <v>1</v>
      </c>
      <c r="R337" t="str">
        <f t="shared" si="11"/>
        <v/>
      </c>
    </row>
    <row r="338" spans="1:18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  <c r="Q338">
        <f t="shared" si="10"/>
        <v>0</v>
      </c>
      <c r="R338" t="str">
        <f t="shared" si="11"/>
        <v/>
      </c>
    </row>
    <row r="339" spans="1:18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  <c r="Q339">
        <f t="shared" si="10"/>
        <v>0</v>
      </c>
      <c r="R339" t="str">
        <f t="shared" si="11"/>
        <v/>
      </c>
    </row>
    <row r="340" spans="1:18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  <c r="Q340">
        <f t="shared" si="10"/>
        <v>0</v>
      </c>
      <c r="R340" t="str">
        <f t="shared" si="11"/>
        <v/>
      </c>
    </row>
    <row r="341" spans="1:18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  <c r="Q341">
        <f t="shared" si="10"/>
        <v>0</v>
      </c>
      <c r="R341" t="str">
        <f t="shared" si="11"/>
        <v/>
      </c>
    </row>
    <row r="342" spans="1:18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  <c r="Q342">
        <f t="shared" si="10"/>
        <v>0</v>
      </c>
      <c r="R342" t="str">
        <f t="shared" si="11"/>
        <v/>
      </c>
    </row>
    <row r="343" spans="1:18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  <c r="Q343">
        <f t="shared" si="10"/>
        <v>0</v>
      </c>
      <c r="R343" t="str">
        <f t="shared" si="11"/>
        <v/>
      </c>
    </row>
    <row r="344" spans="1:18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  <c r="Q344">
        <f t="shared" si="10"/>
        <v>0</v>
      </c>
      <c r="R344" t="str">
        <f t="shared" si="11"/>
        <v/>
      </c>
    </row>
    <row r="345" spans="1:18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  <c r="Q345">
        <f t="shared" si="10"/>
        <v>0</v>
      </c>
      <c r="R345" t="str">
        <f t="shared" si="11"/>
        <v/>
      </c>
    </row>
    <row r="346" spans="1:18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  <c r="Q346">
        <f t="shared" si="10"/>
        <v>0</v>
      </c>
      <c r="R346" t="str">
        <f t="shared" si="11"/>
        <v/>
      </c>
    </row>
    <row r="347" spans="1:18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  <c r="Q347">
        <f t="shared" si="10"/>
        <v>0</v>
      </c>
      <c r="R347" t="str">
        <f t="shared" si="11"/>
        <v/>
      </c>
    </row>
    <row r="348" spans="1:18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  <c r="Q348">
        <f t="shared" si="10"/>
        <v>0</v>
      </c>
      <c r="R348" t="str">
        <f t="shared" si="11"/>
        <v/>
      </c>
    </row>
    <row r="349" spans="1:18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  <c r="Q349">
        <f t="shared" si="10"/>
        <v>0</v>
      </c>
      <c r="R349" t="str">
        <f t="shared" si="11"/>
        <v/>
      </c>
    </row>
    <row r="350" spans="1:18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  <c r="Q350">
        <f t="shared" si="10"/>
        <v>0</v>
      </c>
      <c r="R350" t="str">
        <f t="shared" si="11"/>
        <v/>
      </c>
    </row>
    <row r="351" spans="1:18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  <c r="Q351">
        <f t="shared" si="10"/>
        <v>0</v>
      </c>
      <c r="R351" t="str">
        <f t="shared" si="11"/>
        <v/>
      </c>
    </row>
    <row r="352" spans="1:18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  <c r="Q352">
        <f t="shared" si="10"/>
        <v>0</v>
      </c>
      <c r="R352" t="str">
        <f t="shared" si="11"/>
        <v/>
      </c>
    </row>
    <row r="353" spans="1:18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  <c r="Q353">
        <f t="shared" si="10"/>
        <v>0</v>
      </c>
      <c r="R353" t="str">
        <f t="shared" si="11"/>
        <v/>
      </c>
    </row>
    <row r="354" spans="1:18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  <c r="Q354">
        <f t="shared" si="10"/>
        <v>0</v>
      </c>
      <c r="R354" t="str">
        <f t="shared" si="11"/>
        <v/>
      </c>
    </row>
    <row r="355" spans="1:18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  <c r="Q355">
        <f t="shared" si="10"/>
        <v>0</v>
      </c>
      <c r="R355" t="str">
        <f t="shared" si="11"/>
        <v/>
      </c>
    </row>
    <row r="356" spans="1:18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  <c r="Q356">
        <f t="shared" si="10"/>
        <v>0</v>
      </c>
      <c r="R356" t="str">
        <f t="shared" si="11"/>
        <v/>
      </c>
    </row>
    <row r="357" spans="1:18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  <c r="Q357">
        <f t="shared" si="10"/>
        <v>0</v>
      </c>
      <c r="R357" t="str">
        <f t="shared" si="11"/>
        <v/>
      </c>
    </row>
    <row r="358" spans="1:18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  <c r="Q358">
        <f t="shared" si="10"/>
        <v>0</v>
      </c>
      <c r="R358" t="str">
        <f t="shared" si="11"/>
        <v/>
      </c>
    </row>
    <row r="359" spans="1:18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  <c r="Q359">
        <f t="shared" si="10"/>
        <v>0</v>
      </c>
      <c r="R359" t="str">
        <f t="shared" si="11"/>
        <v/>
      </c>
    </row>
    <row r="360" spans="1:18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  <c r="Q360">
        <f t="shared" si="10"/>
        <v>0</v>
      </c>
      <c r="R360" t="str">
        <f t="shared" si="11"/>
        <v/>
      </c>
    </row>
    <row r="361" spans="1:18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  <c r="Q361">
        <f t="shared" si="10"/>
        <v>0</v>
      </c>
      <c r="R361" t="str">
        <f t="shared" si="11"/>
        <v/>
      </c>
    </row>
    <row r="362" spans="1:18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  <c r="Q362">
        <f t="shared" si="10"/>
        <v>0</v>
      </c>
      <c r="R362" t="str">
        <f t="shared" si="11"/>
        <v/>
      </c>
    </row>
    <row r="363" spans="1:18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  <c r="Q363">
        <f t="shared" si="10"/>
        <v>0</v>
      </c>
      <c r="R363" t="str">
        <f t="shared" si="11"/>
        <v/>
      </c>
    </row>
    <row r="364" spans="1:18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  <c r="Q364">
        <f t="shared" si="10"/>
        <v>0</v>
      </c>
      <c r="R364" t="str">
        <f t="shared" si="11"/>
        <v/>
      </c>
    </row>
    <row r="365" spans="1:18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  <c r="Q365">
        <f t="shared" si="10"/>
        <v>0</v>
      </c>
      <c r="R365" t="str">
        <f t="shared" si="11"/>
        <v/>
      </c>
    </row>
    <row r="366" spans="1:18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  <c r="Q366">
        <f t="shared" si="10"/>
        <v>0</v>
      </c>
      <c r="R366" t="str">
        <f t="shared" si="11"/>
        <v/>
      </c>
    </row>
    <row r="367" spans="1:18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  <c r="Q367">
        <f t="shared" si="10"/>
        <v>0</v>
      </c>
      <c r="R367" t="str">
        <f t="shared" si="11"/>
        <v/>
      </c>
    </row>
    <row r="368" spans="1:18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  <c r="Q368">
        <f t="shared" si="10"/>
        <v>0</v>
      </c>
      <c r="R368" t="str">
        <f t="shared" si="11"/>
        <v/>
      </c>
    </row>
    <row r="369" spans="1:18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  <c r="Q369">
        <f t="shared" si="10"/>
        <v>0</v>
      </c>
      <c r="R369" t="str">
        <f t="shared" si="11"/>
        <v/>
      </c>
    </row>
    <row r="370" spans="1:18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  <c r="Q370">
        <f t="shared" si="10"/>
        <v>0</v>
      </c>
      <c r="R370" t="str">
        <f t="shared" si="11"/>
        <v/>
      </c>
    </row>
    <row r="371" spans="1:18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  <c r="Q371">
        <f t="shared" si="10"/>
        <v>0</v>
      </c>
      <c r="R371" t="str">
        <f t="shared" si="11"/>
        <v/>
      </c>
    </row>
    <row r="372" spans="1:18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  <c r="Q372">
        <f t="shared" si="10"/>
        <v>0</v>
      </c>
      <c r="R372" t="str">
        <f t="shared" si="11"/>
        <v/>
      </c>
    </row>
    <row r="373" spans="1:18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  <c r="Q373">
        <f t="shared" si="10"/>
        <v>0</v>
      </c>
      <c r="R373" t="str">
        <f t="shared" si="11"/>
        <v/>
      </c>
    </row>
    <row r="374" spans="1:18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  <c r="Q374">
        <f t="shared" si="10"/>
        <v>0</v>
      </c>
      <c r="R374" t="str">
        <f t="shared" si="11"/>
        <v/>
      </c>
    </row>
    <row r="375" spans="1:18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  <c r="Q375">
        <f t="shared" si="10"/>
        <v>0</v>
      </c>
      <c r="R375" t="str">
        <f t="shared" si="11"/>
        <v/>
      </c>
    </row>
    <row r="376" spans="1:18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  <c r="Q376">
        <f t="shared" si="10"/>
        <v>0</v>
      </c>
      <c r="R376" t="str">
        <f t="shared" si="11"/>
        <v/>
      </c>
    </row>
    <row r="377" spans="1:18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  <c r="Q377">
        <f t="shared" si="10"/>
        <v>0</v>
      </c>
      <c r="R377" t="str">
        <f t="shared" si="11"/>
        <v/>
      </c>
    </row>
    <row r="378" spans="1:18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  <c r="Q378">
        <f t="shared" si="10"/>
        <v>0</v>
      </c>
      <c r="R378" t="str">
        <f t="shared" si="11"/>
        <v/>
      </c>
    </row>
    <row r="379" spans="1:18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  <c r="Q379">
        <f t="shared" si="10"/>
        <v>0</v>
      </c>
      <c r="R379" t="str">
        <f t="shared" si="11"/>
        <v/>
      </c>
    </row>
    <row r="380" spans="1:18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  <c r="Q380">
        <f t="shared" si="10"/>
        <v>0</v>
      </c>
      <c r="R380" t="str">
        <f t="shared" si="11"/>
        <v/>
      </c>
    </row>
    <row r="381" spans="1:18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  <c r="Q381">
        <f t="shared" si="10"/>
        <v>0</v>
      </c>
      <c r="R381" t="str">
        <f t="shared" si="11"/>
        <v/>
      </c>
    </row>
    <row r="382" spans="1:18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  <c r="Q382">
        <f t="shared" si="10"/>
        <v>0</v>
      </c>
      <c r="R382" t="str">
        <f t="shared" si="11"/>
        <v/>
      </c>
    </row>
    <row r="383" spans="1:18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  <c r="Q383">
        <f t="shared" si="10"/>
        <v>0</v>
      </c>
      <c r="R383" t="str">
        <f t="shared" si="11"/>
        <v/>
      </c>
    </row>
    <row r="384" spans="1:18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  <c r="Q384">
        <f t="shared" si="10"/>
        <v>0</v>
      </c>
      <c r="R384" t="str">
        <f t="shared" si="11"/>
        <v/>
      </c>
    </row>
    <row r="385" spans="1:18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  <c r="Q385">
        <f t="shared" si="10"/>
        <v>0</v>
      </c>
      <c r="R385" t="str">
        <f t="shared" si="11"/>
        <v/>
      </c>
    </row>
    <row r="386" spans="1:18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  <c r="Q386">
        <f t="shared" si="10"/>
        <v>0</v>
      </c>
      <c r="R386" t="str">
        <f t="shared" si="11"/>
        <v/>
      </c>
    </row>
    <row r="387" spans="1:18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  <c r="Q387">
        <f t="shared" ref="Q387:Q450" si="12">IF(C387="Control",K387,"")</f>
        <v>0</v>
      </c>
      <c r="R387" t="str">
        <f t="shared" ref="R387:R450" si="13">IF(C387="Treatment",K387,"")</f>
        <v/>
      </c>
    </row>
    <row r="388" spans="1:18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  <c r="Q388">
        <f t="shared" si="12"/>
        <v>0</v>
      </c>
      <c r="R388" t="str">
        <f t="shared" si="13"/>
        <v/>
      </c>
    </row>
    <row r="389" spans="1:18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  <c r="Q389">
        <f t="shared" si="12"/>
        <v>0</v>
      </c>
      <c r="R389" t="str">
        <f t="shared" si="13"/>
        <v/>
      </c>
    </row>
    <row r="390" spans="1:18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  <c r="Q390">
        <f t="shared" si="12"/>
        <v>0</v>
      </c>
      <c r="R390" t="str">
        <f t="shared" si="13"/>
        <v/>
      </c>
    </row>
    <row r="391" spans="1:18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  <c r="Q391">
        <f t="shared" si="12"/>
        <v>0</v>
      </c>
      <c r="R391" t="str">
        <f t="shared" si="13"/>
        <v/>
      </c>
    </row>
    <row r="392" spans="1:18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  <c r="Q392">
        <f t="shared" si="12"/>
        <v>0</v>
      </c>
      <c r="R392" t="str">
        <f t="shared" si="13"/>
        <v/>
      </c>
    </row>
    <row r="393" spans="1:18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  <c r="Q393">
        <f t="shared" si="12"/>
        <v>0</v>
      </c>
      <c r="R393" t="str">
        <f t="shared" si="13"/>
        <v/>
      </c>
    </row>
    <row r="394" spans="1:18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  <c r="Q394">
        <f t="shared" si="12"/>
        <v>0</v>
      </c>
      <c r="R394" t="str">
        <f t="shared" si="13"/>
        <v/>
      </c>
    </row>
    <row r="395" spans="1:18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  <c r="Q395">
        <f t="shared" si="12"/>
        <v>0</v>
      </c>
      <c r="R395" t="str">
        <f t="shared" si="13"/>
        <v/>
      </c>
    </row>
    <row r="396" spans="1:18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  <c r="Q396">
        <f t="shared" si="12"/>
        <v>0</v>
      </c>
      <c r="R396" t="str">
        <f t="shared" si="13"/>
        <v/>
      </c>
    </row>
    <row r="397" spans="1:18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  <c r="Q397">
        <f t="shared" si="12"/>
        <v>0</v>
      </c>
      <c r="R397" t="str">
        <f t="shared" si="13"/>
        <v/>
      </c>
    </row>
    <row r="398" spans="1:18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  <c r="Q398">
        <f t="shared" si="12"/>
        <v>0</v>
      </c>
      <c r="R398" t="str">
        <f t="shared" si="13"/>
        <v/>
      </c>
    </row>
    <row r="399" spans="1:18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  <c r="Q399">
        <f t="shared" si="12"/>
        <v>0</v>
      </c>
      <c r="R399" t="str">
        <f t="shared" si="13"/>
        <v/>
      </c>
    </row>
    <row r="400" spans="1:18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  <c r="Q400">
        <f t="shared" si="12"/>
        <v>0</v>
      </c>
      <c r="R400" t="str">
        <f t="shared" si="13"/>
        <v/>
      </c>
    </row>
    <row r="401" spans="1:18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  <c r="Q401">
        <f t="shared" si="12"/>
        <v>0</v>
      </c>
      <c r="R401" t="str">
        <f t="shared" si="13"/>
        <v/>
      </c>
    </row>
    <row r="402" spans="1:18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  <c r="Q402">
        <f t="shared" si="12"/>
        <v>0</v>
      </c>
      <c r="R402" t="str">
        <f t="shared" si="13"/>
        <v/>
      </c>
    </row>
    <row r="403" spans="1:18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  <c r="Q403">
        <f t="shared" si="12"/>
        <v>0</v>
      </c>
      <c r="R403" t="str">
        <f t="shared" si="13"/>
        <v/>
      </c>
    </row>
    <row r="404" spans="1:18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  <c r="Q404">
        <f t="shared" si="12"/>
        <v>0</v>
      </c>
      <c r="R404" t="str">
        <f t="shared" si="13"/>
        <v/>
      </c>
    </row>
    <row r="405" spans="1:18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  <c r="Q405">
        <f t="shared" si="12"/>
        <v>0</v>
      </c>
      <c r="R405" t="str">
        <f t="shared" si="13"/>
        <v/>
      </c>
    </row>
    <row r="406" spans="1:18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  <c r="Q406">
        <f t="shared" si="12"/>
        <v>0</v>
      </c>
      <c r="R406" t="str">
        <f t="shared" si="13"/>
        <v/>
      </c>
    </row>
    <row r="407" spans="1:18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  <c r="Q407">
        <f t="shared" si="12"/>
        <v>0</v>
      </c>
      <c r="R407" t="str">
        <f t="shared" si="13"/>
        <v/>
      </c>
    </row>
    <row r="408" spans="1:18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  <c r="Q408">
        <f t="shared" si="12"/>
        <v>0</v>
      </c>
      <c r="R408" t="str">
        <f t="shared" si="13"/>
        <v/>
      </c>
    </row>
    <row r="409" spans="1:18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  <c r="Q409">
        <f t="shared" si="12"/>
        <v>0</v>
      </c>
      <c r="R409" t="str">
        <f t="shared" si="13"/>
        <v/>
      </c>
    </row>
    <row r="410" spans="1:18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  <c r="Q410">
        <f t="shared" si="12"/>
        <v>0</v>
      </c>
      <c r="R410" t="str">
        <f t="shared" si="13"/>
        <v/>
      </c>
    </row>
    <row r="411" spans="1:18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  <c r="Q411">
        <f t="shared" si="12"/>
        <v>0</v>
      </c>
      <c r="R411" t="str">
        <f t="shared" si="13"/>
        <v/>
      </c>
    </row>
    <row r="412" spans="1:18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  <c r="Q412">
        <f t="shared" si="12"/>
        <v>1</v>
      </c>
      <c r="R412" t="str">
        <f t="shared" si="13"/>
        <v/>
      </c>
    </row>
    <row r="413" spans="1:18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  <c r="Q413">
        <f t="shared" si="12"/>
        <v>0</v>
      </c>
      <c r="R413" t="str">
        <f t="shared" si="13"/>
        <v/>
      </c>
    </row>
    <row r="414" spans="1:18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  <c r="Q414">
        <f t="shared" si="12"/>
        <v>0</v>
      </c>
      <c r="R414" t="str">
        <f t="shared" si="13"/>
        <v/>
      </c>
    </row>
    <row r="415" spans="1:18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  <c r="Q415">
        <f t="shared" si="12"/>
        <v>0</v>
      </c>
      <c r="R415" t="str">
        <f t="shared" si="13"/>
        <v/>
      </c>
    </row>
    <row r="416" spans="1:18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  <c r="Q416">
        <f t="shared" si="12"/>
        <v>0</v>
      </c>
      <c r="R416" t="str">
        <f t="shared" si="13"/>
        <v/>
      </c>
    </row>
    <row r="417" spans="1:18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  <c r="Q417">
        <f t="shared" si="12"/>
        <v>0</v>
      </c>
      <c r="R417" t="str">
        <f t="shared" si="13"/>
        <v/>
      </c>
    </row>
    <row r="418" spans="1:18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  <c r="Q418">
        <f t="shared" si="12"/>
        <v>0</v>
      </c>
      <c r="R418" t="str">
        <f t="shared" si="13"/>
        <v/>
      </c>
    </row>
    <row r="419" spans="1:18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  <c r="Q419">
        <f t="shared" si="12"/>
        <v>0</v>
      </c>
      <c r="R419" t="str">
        <f t="shared" si="13"/>
        <v/>
      </c>
    </row>
    <row r="420" spans="1:18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  <c r="Q420">
        <f t="shared" si="12"/>
        <v>0</v>
      </c>
      <c r="R420" t="str">
        <f t="shared" si="13"/>
        <v/>
      </c>
    </row>
    <row r="421" spans="1:18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  <c r="Q421">
        <f t="shared" si="12"/>
        <v>0</v>
      </c>
      <c r="R421" t="str">
        <f t="shared" si="13"/>
        <v/>
      </c>
    </row>
    <row r="422" spans="1:18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  <c r="Q422">
        <f t="shared" si="12"/>
        <v>0</v>
      </c>
      <c r="R422" t="str">
        <f t="shared" si="13"/>
        <v/>
      </c>
    </row>
    <row r="423" spans="1:18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  <c r="Q423">
        <f t="shared" si="12"/>
        <v>0</v>
      </c>
      <c r="R423" t="str">
        <f t="shared" si="13"/>
        <v/>
      </c>
    </row>
    <row r="424" spans="1:18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  <c r="Q424">
        <f t="shared" si="12"/>
        <v>0</v>
      </c>
      <c r="R424" t="str">
        <f t="shared" si="13"/>
        <v/>
      </c>
    </row>
    <row r="425" spans="1:18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  <c r="Q425">
        <f t="shared" si="12"/>
        <v>0</v>
      </c>
      <c r="R425" t="str">
        <f t="shared" si="13"/>
        <v/>
      </c>
    </row>
    <row r="426" spans="1:18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  <c r="Q426">
        <f t="shared" si="12"/>
        <v>0</v>
      </c>
      <c r="R426" t="str">
        <f t="shared" si="13"/>
        <v/>
      </c>
    </row>
    <row r="427" spans="1:18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  <c r="Q427">
        <f t="shared" si="12"/>
        <v>0</v>
      </c>
      <c r="R427" t="str">
        <f t="shared" si="13"/>
        <v/>
      </c>
    </row>
    <row r="428" spans="1:18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  <c r="Q428">
        <f t="shared" si="12"/>
        <v>0</v>
      </c>
      <c r="R428" t="str">
        <f t="shared" si="13"/>
        <v/>
      </c>
    </row>
    <row r="429" spans="1:18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  <c r="Q429">
        <f t="shared" si="12"/>
        <v>0</v>
      </c>
      <c r="R429" t="str">
        <f t="shared" si="13"/>
        <v/>
      </c>
    </row>
    <row r="430" spans="1:18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  <c r="Q430">
        <f t="shared" si="12"/>
        <v>0</v>
      </c>
      <c r="R430" t="str">
        <f t="shared" si="13"/>
        <v/>
      </c>
    </row>
    <row r="431" spans="1:18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  <c r="Q431">
        <f t="shared" si="12"/>
        <v>0</v>
      </c>
      <c r="R431" t="str">
        <f t="shared" si="13"/>
        <v/>
      </c>
    </row>
    <row r="432" spans="1:18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  <c r="Q432">
        <f t="shared" si="12"/>
        <v>0</v>
      </c>
      <c r="R432" t="str">
        <f t="shared" si="13"/>
        <v/>
      </c>
    </row>
    <row r="433" spans="1:18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  <c r="Q433">
        <f t="shared" si="12"/>
        <v>0</v>
      </c>
      <c r="R433" t="str">
        <f t="shared" si="13"/>
        <v/>
      </c>
    </row>
    <row r="434" spans="1:18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  <c r="Q434">
        <f t="shared" si="12"/>
        <v>0</v>
      </c>
      <c r="R434" t="str">
        <f t="shared" si="13"/>
        <v/>
      </c>
    </row>
    <row r="435" spans="1:18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  <c r="Q435">
        <f t="shared" si="12"/>
        <v>0</v>
      </c>
      <c r="R435" t="str">
        <f t="shared" si="13"/>
        <v/>
      </c>
    </row>
    <row r="436" spans="1:18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  <c r="Q436">
        <f t="shared" si="12"/>
        <v>0</v>
      </c>
      <c r="R436" t="str">
        <f t="shared" si="13"/>
        <v/>
      </c>
    </row>
    <row r="437" spans="1:18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  <c r="Q437">
        <f t="shared" si="12"/>
        <v>0</v>
      </c>
      <c r="R437" t="str">
        <f t="shared" si="13"/>
        <v/>
      </c>
    </row>
    <row r="438" spans="1:18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  <c r="Q438">
        <f t="shared" si="12"/>
        <v>0</v>
      </c>
      <c r="R438" t="str">
        <f t="shared" si="13"/>
        <v/>
      </c>
    </row>
    <row r="439" spans="1:18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  <c r="Q439">
        <f t="shared" si="12"/>
        <v>0</v>
      </c>
      <c r="R439" t="str">
        <f t="shared" si="13"/>
        <v/>
      </c>
    </row>
    <row r="440" spans="1:18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  <c r="Q440">
        <f t="shared" si="12"/>
        <v>0</v>
      </c>
      <c r="R440" t="str">
        <f t="shared" si="13"/>
        <v/>
      </c>
    </row>
    <row r="441" spans="1:18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  <c r="Q441">
        <f t="shared" si="12"/>
        <v>1</v>
      </c>
      <c r="R441" t="str">
        <f t="shared" si="13"/>
        <v/>
      </c>
    </row>
    <row r="442" spans="1:18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  <c r="Q442">
        <f t="shared" si="12"/>
        <v>0</v>
      </c>
      <c r="R442" t="str">
        <f t="shared" si="13"/>
        <v/>
      </c>
    </row>
    <row r="443" spans="1:18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  <c r="Q443">
        <f t="shared" si="12"/>
        <v>0</v>
      </c>
      <c r="R443" t="str">
        <f t="shared" si="13"/>
        <v/>
      </c>
    </row>
    <row r="444" spans="1:18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  <c r="Q444">
        <f t="shared" si="12"/>
        <v>0</v>
      </c>
      <c r="R444" t="str">
        <f t="shared" si="13"/>
        <v/>
      </c>
    </row>
    <row r="445" spans="1:18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  <c r="Q445">
        <f t="shared" si="12"/>
        <v>0</v>
      </c>
      <c r="R445" t="str">
        <f t="shared" si="13"/>
        <v/>
      </c>
    </row>
    <row r="446" spans="1:18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  <c r="Q446">
        <f t="shared" si="12"/>
        <v>0</v>
      </c>
      <c r="R446" t="str">
        <f t="shared" si="13"/>
        <v/>
      </c>
    </row>
    <row r="447" spans="1:18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  <c r="Q447">
        <f t="shared" si="12"/>
        <v>0</v>
      </c>
      <c r="R447" t="str">
        <f t="shared" si="13"/>
        <v/>
      </c>
    </row>
    <row r="448" spans="1:18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  <c r="Q448">
        <f t="shared" si="12"/>
        <v>0</v>
      </c>
      <c r="R448" t="str">
        <f t="shared" si="13"/>
        <v/>
      </c>
    </row>
    <row r="449" spans="1:18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  <c r="Q449">
        <f t="shared" si="12"/>
        <v>0</v>
      </c>
      <c r="R449" t="str">
        <f t="shared" si="13"/>
        <v/>
      </c>
    </row>
    <row r="450" spans="1:18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  <c r="Q450">
        <f t="shared" si="12"/>
        <v>0</v>
      </c>
      <c r="R450" t="str">
        <f t="shared" si="13"/>
        <v/>
      </c>
    </row>
    <row r="451" spans="1:18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  <c r="Q451">
        <f t="shared" ref="Q451:Q514" si="14">IF(C451="Control",K451,"")</f>
        <v>0</v>
      </c>
      <c r="R451" t="str">
        <f t="shared" ref="R451:R514" si="15">IF(C451="Treatment",K451,"")</f>
        <v/>
      </c>
    </row>
    <row r="452" spans="1:18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  <c r="Q452">
        <f t="shared" si="14"/>
        <v>0</v>
      </c>
      <c r="R452" t="str">
        <f t="shared" si="15"/>
        <v/>
      </c>
    </row>
    <row r="453" spans="1:18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  <c r="Q453">
        <f t="shared" si="14"/>
        <v>0</v>
      </c>
      <c r="R453" t="str">
        <f t="shared" si="15"/>
        <v/>
      </c>
    </row>
    <row r="454" spans="1:18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  <c r="Q454">
        <f t="shared" si="14"/>
        <v>0</v>
      </c>
      <c r="R454" t="str">
        <f t="shared" si="15"/>
        <v/>
      </c>
    </row>
    <row r="455" spans="1:18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  <c r="Q455">
        <f t="shared" si="14"/>
        <v>0</v>
      </c>
      <c r="R455" t="str">
        <f t="shared" si="15"/>
        <v/>
      </c>
    </row>
    <row r="456" spans="1:18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F456" t="s">
        <v>1433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  <c r="Q456">
        <f t="shared" si="14"/>
        <v>0</v>
      </c>
      <c r="R456" t="str">
        <f t="shared" si="15"/>
        <v/>
      </c>
    </row>
    <row r="457" spans="1:18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  <c r="Q457">
        <f t="shared" si="14"/>
        <v>0</v>
      </c>
      <c r="R457" t="str">
        <f t="shared" si="15"/>
        <v/>
      </c>
    </row>
    <row r="458" spans="1:18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  <c r="Q458">
        <f t="shared" si="14"/>
        <v>0</v>
      </c>
      <c r="R458" t="str">
        <f t="shared" si="15"/>
        <v/>
      </c>
    </row>
    <row r="459" spans="1:18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  <c r="Q459">
        <f t="shared" si="14"/>
        <v>0</v>
      </c>
      <c r="R459" t="str">
        <f t="shared" si="15"/>
        <v/>
      </c>
    </row>
    <row r="460" spans="1:18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  <c r="Q460">
        <f t="shared" si="14"/>
        <v>0</v>
      </c>
      <c r="R460" t="str">
        <f t="shared" si="15"/>
        <v/>
      </c>
    </row>
    <row r="461" spans="1:18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  <c r="Q461">
        <f t="shared" si="14"/>
        <v>0</v>
      </c>
      <c r="R461" t="str">
        <f t="shared" si="15"/>
        <v/>
      </c>
    </row>
    <row r="462" spans="1:18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  <c r="Q462">
        <f t="shared" si="14"/>
        <v>0</v>
      </c>
      <c r="R462" t="str">
        <f t="shared" si="15"/>
        <v/>
      </c>
    </row>
    <row r="463" spans="1:18">
      <c r="A463" t="s">
        <v>493</v>
      </c>
      <c r="B463" s="2">
        <v>45796</v>
      </c>
      <c r="C463" t="s">
        <v>17</v>
      </c>
      <c r="D463" t="s">
        <v>18</v>
      </c>
      <c r="E463" t="s">
        <v>1433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  <c r="Q463">
        <f t="shared" si="14"/>
        <v>0</v>
      </c>
      <c r="R463" t="str">
        <f t="shared" si="15"/>
        <v/>
      </c>
    </row>
    <row r="464" spans="1:18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  <c r="Q464">
        <f t="shared" si="14"/>
        <v>0</v>
      </c>
      <c r="R464" t="str">
        <f t="shared" si="15"/>
        <v/>
      </c>
    </row>
    <row r="465" spans="1:18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  <c r="Q465">
        <f t="shared" si="14"/>
        <v>0</v>
      </c>
      <c r="R465" t="str">
        <f t="shared" si="15"/>
        <v/>
      </c>
    </row>
    <row r="466" spans="1:18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F466" t="s">
        <v>1433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  <c r="Q466">
        <f t="shared" si="14"/>
        <v>0</v>
      </c>
      <c r="R466" t="str">
        <f t="shared" si="15"/>
        <v/>
      </c>
    </row>
    <row r="467" spans="1:18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  <c r="Q467">
        <f t="shared" si="14"/>
        <v>0</v>
      </c>
      <c r="R467" t="str">
        <f t="shared" si="15"/>
        <v/>
      </c>
    </row>
    <row r="468" spans="1:18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  <c r="Q468">
        <f t="shared" si="14"/>
        <v>0</v>
      </c>
      <c r="R468" t="str">
        <f t="shared" si="15"/>
        <v/>
      </c>
    </row>
    <row r="469" spans="1:18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  <c r="Q469">
        <f t="shared" si="14"/>
        <v>0</v>
      </c>
      <c r="R469" t="str">
        <f t="shared" si="15"/>
        <v/>
      </c>
    </row>
    <row r="470" spans="1:18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  <c r="Q470">
        <f t="shared" si="14"/>
        <v>0</v>
      </c>
      <c r="R470" t="str">
        <f t="shared" si="15"/>
        <v/>
      </c>
    </row>
    <row r="471" spans="1:18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  <c r="Q471">
        <f t="shared" si="14"/>
        <v>0</v>
      </c>
      <c r="R471" t="str">
        <f t="shared" si="15"/>
        <v/>
      </c>
    </row>
    <row r="472" spans="1:18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  <c r="Q472">
        <f t="shared" si="14"/>
        <v>0</v>
      </c>
      <c r="R472" t="str">
        <f t="shared" si="15"/>
        <v/>
      </c>
    </row>
    <row r="473" spans="1:18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  <c r="Q473">
        <f t="shared" si="14"/>
        <v>0</v>
      </c>
      <c r="R473" t="str">
        <f t="shared" si="15"/>
        <v/>
      </c>
    </row>
    <row r="474" spans="1:18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  <c r="Q474">
        <f t="shared" si="14"/>
        <v>0</v>
      </c>
      <c r="R474" t="str">
        <f t="shared" si="15"/>
        <v/>
      </c>
    </row>
    <row r="475" spans="1:18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  <c r="Q475">
        <f t="shared" si="14"/>
        <v>0</v>
      </c>
      <c r="R475" t="str">
        <f t="shared" si="15"/>
        <v/>
      </c>
    </row>
    <row r="476" spans="1:18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  <c r="Q476">
        <f t="shared" si="14"/>
        <v>0</v>
      </c>
      <c r="R476" t="str">
        <f t="shared" si="15"/>
        <v/>
      </c>
    </row>
    <row r="477" spans="1:18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  <c r="Q477">
        <f t="shared" si="14"/>
        <v>0</v>
      </c>
      <c r="R477" t="str">
        <f t="shared" si="15"/>
        <v/>
      </c>
    </row>
    <row r="478" spans="1:18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  <c r="Q478">
        <f t="shared" si="14"/>
        <v>0</v>
      </c>
      <c r="R478" t="str">
        <f t="shared" si="15"/>
        <v/>
      </c>
    </row>
    <row r="479" spans="1:18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  <c r="Q479">
        <f t="shared" si="14"/>
        <v>0</v>
      </c>
      <c r="R479" t="str">
        <f t="shared" si="15"/>
        <v/>
      </c>
    </row>
    <row r="480" spans="1:18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  <c r="Q480">
        <f t="shared" si="14"/>
        <v>0</v>
      </c>
      <c r="R480" t="str">
        <f t="shared" si="15"/>
        <v/>
      </c>
    </row>
    <row r="481" spans="1:18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  <c r="Q481">
        <f t="shared" si="14"/>
        <v>0</v>
      </c>
      <c r="R481" t="str">
        <f t="shared" si="15"/>
        <v/>
      </c>
    </row>
    <row r="482" spans="1:18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  <c r="Q482">
        <f t="shared" si="14"/>
        <v>0</v>
      </c>
      <c r="R482" t="str">
        <f t="shared" si="15"/>
        <v/>
      </c>
    </row>
    <row r="483" spans="1:18">
      <c r="A483" t="s">
        <v>513</v>
      </c>
      <c r="B483" s="2">
        <v>45701</v>
      </c>
      <c r="C483" t="s">
        <v>17</v>
      </c>
      <c r="D483" t="s">
        <v>18</v>
      </c>
      <c r="E483" t="s">
        <v>1433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  <c r="Q483">
        <f t="shared" si="14"/>
        <v>0</v>
      </c>
      <c r="R483" t="str">
        <f t="shared" si="15"/>
        <v/>
      </c>
    </row>
    <row r="484" spans="1:18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  <c r="Q484">
        <f t="shared" si="14"/>
        <v>0</v>
      </c>
      <c r="R484" t="str">
        <f t="shared" si="15"/>
        <v/>
      </c>
    </row>
    <row r="485" spans="1:18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  <c r="Q485">
        <f t="shared" si="14"/>
        <v>0</v>
      </c>
      <c r="R485" t="str">
        <f t="shared" si="15"/>
        <v/>
      </c>
    </row>
    <row r="486" spans="1:18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  <c r="Q486">
        <f t="shared" si="14"/>
        <v>0</v>
      </c>
      <c r="R486" t="str">
        <f t="shared" si="15"/>
        <v/>
      </c>
    </row>
    <row r="487" spans="1:18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  <c r="Q487">
        <f t="shared" si="14"/>
        <v>0</v>
      </c>
      <c r="R487" t="str">
        <f t="shared" si="15"/>
        <v/>
      </c>
    </row>
    <row r="488" spans="1:18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  <c r="Q488">
        <f t="shared" si="14"/>
        <v>0</v>
      </c>
      <c r="R488" t="str">
        <f t="shared" si="15"/>
        <v/>
      </c>
    </row>
    <row r="489" spans="1:18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  <c r="Q489">
        <f t="shared" si="14"/>
        <v>0</v>
      </c>
      <c r="R489" t="str">
        <f t="shared" si="15"/>
        <v/>
      </c>
    </row>
    <row r="490" spans="1:18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  <c r="Q490">
        <f t="shared" si="14"/>
        <v>0</v>
      </c>
      <c r="R490" t="str">
        <f t="shared" si="15"/>
        <v/>
      </c>
    </row>
    <row r="491" spans="1:18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  <c r="Q491">
        <f t="shared" si="14"/>
        <v>0</v>
      </c>
      <c r="R491" t="str">
        <f t="shared" si="15"/>
        <v/>
      </c>
    </row>
    <row r="492" spans="1:18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  <c r="Q492">
        <f t="shared" si="14"/>
        <v>0</v>
      </c>
      <c r="R492" t="str">
        <f t="shared" si="15"/>
        <v/>
      </c>
    </row>
    <row r="493" spans="1:18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  <c r="Q493">
        <f t="shared" si="14"/>
        <v>0</v>
      </c>
      <c r="R493" t="str">
        <f t="shared" si="15"/>
        <v/>
      </c>
    </row>
    <row r="494" spans="1:18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  <c r="Q494">
        <f t="shared" si="14"/>
        <v>0</v>
      </c>
      <c r="R494" t="str">
        <f t="shared" si="15"/>
        <v/>
      </c>
    </row>
    <row r="495" spans="1:18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  <c r="Q495">
        <f t="shared" si="14"/>
        <v>0</v>
      </c>
      <c r="R495" t="str">
        <f t="shared" si="15"/>
        <v/>
      </c>
    </row>
    <row r="496" spans="1:18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  <c r="Q496">
        <f t="shared" si="14"/>
        <v>0</v>
      </c>
      <c r="R496" t="str">
        <f t="shared" si="15"/>
        <v/>
      </c>
    </row>
    <row r="497" spans="1:18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  <c r="Q497">
        <f t="shared" si="14"/>
        <v>0</v>
      </c>
      <c r="R497" t="str">
        <f t="shared" si="15"/>
        <v/>
      </c>
    </row>
    <row r="498" spans="1:18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  <c r="Q498">
        <f t="shared" si="14"/>
        <v>0</v>
      </c>
      <c r="R498" t="str">
        <f t="shared" si="15"/>
        <v/>
      </c>
    </row>
    <row r="499" spans="1:18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  <c r="Q499">
        <f t="shared" si="14"/>
        <v>0</v>
      </c>
      <c r="R499" t="str">
        <f t="shared" si="15"/>
        <v/>
      </c>
    </row>
    <row r="500" spans="1:18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  <c r="Q500">
        <f t="shared" si="14"/>
        <v>0</v>
      </c>
      <c r="R500" t="str">
        <f t="shared" si="15"/>
        <v/>
      </c>
    </row>
    <row r="501" spans="1:18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  <c r="Q501">
        <f t="shared" si="14"/>
        <v>0</v>
      </c>
      <c r="R501" t="str">
        <f t="shared" si="15"/>
        <v/>
      </c>
    </row>
    <row r="502" spans="1:18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Q502">
        <f t="shared" si="14"/>
        <v>1</v>
      </c>
      <c r="R502" t="str">
        <f t="shared" si="15"/>
        <v/>
      </c>
    </row>
    <row r="503" spans="1:18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  <c r="Q503">
        <f t="shared" si="14"/>
        <v>0</v>
      </c>
      <c r="R503" t="str">
        <f t="shared" si="15"/>
        <v/>
      </c>
    </row>
    <row r="504" spans="1:18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  <c r="Q504">
        <f t="shared" si="14"/>
        <v>0</v>
      </c>
      <c r="R504" t="str">
        <f t="shared" si="15"/>
        <v/>
      </c>
    </row>
    <row r="505" spans="1:18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  <c r="Q505">
        <f t="shared" si="14"/>
        <v>0</v>
      </c>
      <c r="R505" t="str">
        <f t="shared" si="15"/>
        <v/>
      </c>
    </row>
    <row r="506" spans="1:18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  <c r="Q506">
        <f t="shared" si="14"/>
        <v>0</v>
      </c>
      <c r="R506" t="str">
        <f t="shared" si="15"/>
        <v/>
      </c>
    </row>
    <row r="507" spans="1:18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  <c r="Q507">
        <f t="shared" si="14"/>
        <v>0</v>
      </c>
      <c r="R507" t="str">
        <f t="shared" si="15"/>
        <v/>
      </c>
    </row>
    <row r="508" spans="1:18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  <c r="Q508">
        <f t="shared" si="14"/>
        <v>0</v>
      </c>
      <c r="R508" t="str">
        <f t="shared" si="15"/>
        <v/>
      </c>
    </row>
    <row r="509" spans="1:18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  <c r="Q509">
        <f t="shared" si="14"/>
        <v>0</v>
      </c>
      <c r="R509" t="str">
        <f t="shared" si="15"/>
        <v/>
      </c>
    </row>
    <row r="510" spans="1:18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  <c r="Q510">
        <f t="shared" si="14"/>
        <v>0</v>
      </c>
      <c r="R510" t="str">
        <f t="shared" si="15"/>
        <v/>
      </c>
    </row>
    <row r="511" spans="1:18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  <c r="Q511">
        <f t="shared" si="14"/>
        <v>0</v>
      </c>
      <c r="R511" t="str">
        <f t="shared" si="15"/>
        <v/>
      </c>
    </row>
    <row r="512" spans="1:18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  <c r="Q512">
        <f t="shared" si="14"/>
        <v>0</v>
      </c>
      <c r="R512" t="str">
        <f t="shared" si="15"/>
        <v/>
      </c>
    </row>
    <row r="513" spans="1:18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  <c r="Q513">
        <f t="shared" si="14"/>
        <v>0</v>
      </c>
      <c r="R513" t="str">
        <f t="shared" si="15"/>
        <v/>
      </c>
    </row>
    <row r="514" spans="1:18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F514" t="s">
        <v>1433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  <c r="Q514">
        <f t="shared" si="14"/>
        <v>0</v>
      </c>
      <c r="R514" t="str">
        <f t="shared" si="15"/>
        <v/>
      </c>
    </row>
    <row r="515" spans="1:18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  <c r="Q515">
        <f t="shared" ref="Q515:Q578" si="16">IF(C515="Control",K515,"")</f>
        <v>0</v>
      </c>
      <c r="R515" t="str">
        <f t="shared" ref="R515:R578" si="17">IF(C515="Treatment",K515,"")</f>
        <v/>
      </c>
    </row>
    <row r="516" spans="1:18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  <c r="Q516">
        <f t="shared" si="16"/>
        <v>0</v>
      </c>
      <c r="R516" t="str">
        <f t="shared" si="17"/>
        <v/>
      </c>
    </row>
    <row r="517" spans="1:18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  <c r="Q517">
        <f t="shared" si="16"/>
        <v>0</v>
      </c>
      <c r="R517" t="str">
        <f t="shared" si="17"/>
        <v/>
      </c>
    </row>
    <row r="518" spans="1:18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  <c r="Q518">
        <f t="shared" si="16"/>
        <v>0</v>
      </c>
      <c r="R518" t="str">
        <f t="shared" si="17"/>
        <v/>
      </c>
    </row>
    <row r="519" spans="1:18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  <c r="Q519">
        <f t="shared" si="16"/>
        <v>0</v>
      </c>
      <c r="R519" t="str">
        <f t="shared" si="17"/>
        <v/>
      </c>
    </row>
    <row r="520" spans="1:18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  <c r="Q520">
        <f t="shared" si="16"/>
        <v>0</v>
      </c>
      <c r="R520" t="str">
        <f t="shared" si="17"/>
        <v/>
      </c>
    </row>
    <row r="521" spans="1:18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  <c r="Q521">
        <f t="shared" si="16"/>
        <v>0</v>
      </c>
      <c r="R521" t="str">
        <f t="shared" si="17"/>
        <v/>
      </c>
    </row>
    <row r="522" spans="1:18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  <c r="Q522">
        <f t="shared" si="16"/>
        <v>0</v>
      </c>
      <c r="R522" t="str">
        <f t="shared" si="17"/>
        <v/>
      </c>
    </row>
    <row r="523" spans="1:18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  <c r="Q523">
        <f t="shared" si="16"/>
        <v>0</v>
      </c>
      <c r="R523" t="str">
        <f t="shared" si="17"/>
        <v/>
      </c>
    </row>
    <row r="524" spans="1:18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  <c r="Q524">
        <f t="shared" si="16"/>
        <v>0</v>
      </c>
      <c r="R524" t="str">
        <f t="shared" si="17"/>
        <v/>
      </c>
    </row>
    <row r="525" spans="1:18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  <c r="Q525">
        <f t="shared" si="16"/>
        <v>0</v>
      </c>
      <c r="R525" t="str">
        <f t="shared" si="17"/>
        <v/>
      </c>
    </row>
    <row r="526" spans="1:18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  <c r="Q526">
        <f t="shared" si="16"/>
        <v>0</v>
      </c>
      <c r="R526" t="str">
        <f t="shared" si="17"/>
        <v/>
      </c>
    </row>
    <row r="527" spans="1:18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  <c r="Q527">
        <f t="shared" si="16"/>
        <v>0</v>
      </c>
      <c r="R527" t="str">
        <f t="shared" si="17"/>
        <v/>
      </c>
    </row>
    <row r="528" spans="1:18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  <c r="Q528">
        <f t="shared" si="16"/>
        <v>0</v>
      </c>
      <c r="R528" t="str">
        <f t="shared" si="17"/>
        <v/>
      </c>
    </row>
    <row r="529" spans="1:18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  <c r="Q529">
        <f t="shared" si="16"/>
        <v>0</v>
      </c>
      <c r="R529" t="str">
        <f t="shared" si="17"/>
        <v/>
      </c>
    </row>
    <row r="530" spans="1:18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  <c r="Q530">
        <f t="shared" si="16"/>
        <v>0</v>
      </c>
      <c r="R530" t="str">
        <f t="shared" si="17"/>
        <v/>
      </c>
    </row>
    <row r="531" spans="1:18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  <c r="Q531">
        <f t="shared" si="16"/>
        <v>0</v>
      </c>
      <c r="R531" t="str">
        <f t="shared" si="17"/>
        <v/>
      </c>
    </row>
    <row r="532" spans="1:18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  <c r="Q532">
        <f t="shared" si="16"/>
        <v>0</v>
      </c>
      <c r="R532" t="str">
        <f t="shared" si="17"/>
        <v/>
      </c>
    </row>
    <row r="533" spans="1:18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  <c r="Q533">
        <f t="shared" si="16"/>
        <v>0</v>
      </c>
      <c r="R533" t="str">
        <f t="shared" si="17"/>
        <v/>
      </c>
    </row>
    <row r="534" spans="1:18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  <c r="Q534">
        <f t="shared" si="16"/>
        <v>0</v>
      </c>
      <c r="R534" t="str">
        <f t="shared" si="17"/>
        <v/>
      </c>
    </row>
    <row r="535" spans="1:18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  <c r="Q535">
        <f t="shared" si="16"/>
        <v>0</v>
      </c>
      <c r="R535" t="str">
        <f t="shared" si="17"/>
        <v/>
      </c>
    </row>
    <row r="536" spans="1:18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  <c r="Q536">
        <f t="shared" si="16"/>
        <v>0</v>
      </c>
      <c r="R536" t="str">
        <f t="shared" si="17"/>
        <v/>
      </c>
    </row>
    <row r="537" spans="1:18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  <c r="Q537">
        <f t="shared" si="16"/>
        <v>0</v>
      </c>
      <c r="R537" t="str">
        <f t="shared" si="17"/>
        <v/>
      </c>
    </row>
    <row r="538" spans="1:18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  <c r="Q538">
        <f t="shared" si="16"/>
        <v>0</v>
      </c>
      <c r="R538" t="str">
        <f t="shared" si="17"/>
        <v/>
      </c>
    </row>
    <row r="539" spans="1:18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  <c r="Q539">
        <f t="shared" si="16"/>
        <v>0</v>
      </c>
      <c r="R539" t="str">
        <f t="shared" si="17"/>
        <v/>
      </c>
    </row>
    <row r="540" spans="1:18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  <c r="Q540">
        <f t="shared" si="16"/>
        <v>0</v>
      </c>
      <c r="R540" t="str">
        <f t="shared" si="17"/>
        <v/>
      </c>
    </row>
    <row r="541" spans="1:18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  <c r="Q541">
        <f t="shared" si="16"/>
        <v>0</v>
      </c>
      <c r="R541" t="str">
        <f t="shared" si="17"/>
        <v/>
      </c>
    </row>
    <row r="542" spans="1:18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  <c r="Q542">
        <f t="shared" si="16"/>
        <v>0</v>
      </c>
      <c r="R542" t="str">
        <f t="shared" si="17"/>
        <v/>
      </c>
    </row>
    <row r="543" spans="1:18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  <c r="Q543">
        <f t="shared" si="16"/>
        <v>0</v>
      </c>
      <c r="R543" t="str">
        <f t="shared" si="17"/>
        <v/>
      </c>
    </row>
    <row r="544" spans="1:18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  <c r="Q544">
        <f t="shared" si="16"/>
        <v>0</v>
      </c>
      <c r="R544" t="str">
        <f t="shared" si="17"/>
        <v/>
      </c>
    </row>
    <row r="545" spans="1:18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  <c r="Q545">
        <f t="shared" si="16"/>
        <v>0</v>
      </c>
      <c r="R545" t="str">
        <f t="shared" si="17"/>
        <v/>
      </c>
    </row>
    <row r="546" spans="1:18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Q546">
        <f t="shared" si="16"/>
        <v>0</v>
      </c>
      <c r="R546" t="str">
        <f t="shared" si="17"/>
        <v/>
      </c>
    </row>
    <row r="547" spans="1:18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  <c r="Q547">
        <f t="shared" si="16"/>
        <v>0</v>
      </c>
      <c r="R547" t="str">
        <f t="shared" si="17"/>
        <v/>
      </c>
    </row>
    <row r="548" spans="1:18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  <c r="Q548">
        <f t="shared" si="16"/>
        <v>0</v>
      </c>
      <c r="R548" t="str">
        <f t="shared" si="17"/>
        <v/>
      </c>
    </row>
    <row r="549" spans="1:18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  <c r="Q549">
        <f t="shared" si="16"/>
        <v>0</v>
      </c>
      <c r="R549" t="str">
        <f t="shared" si="17"/>
        <v/>
      </c>
    </row>
    <row r="550" spans="1:18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  <c r="Q550">
        <f t="shared" si="16"/>
        <v>0</v>
      </c>
      <c r="R550" t="str">
        <f t="shared" si="17"/>
        <v/>
      </c>
    </row>
    <row r="551" spans="1:18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  <c r="Q551">
        <f t="shared" si="16"/>
        <v>0</v>
      </c>
      <c r="R551" t="str">
        <f t="shared" si="17"/>
        <v/>
      </c>
    </row>
    <row r="552" spans="1:18">
      <c r="A552" t="s">
        <v>582</v>
      </c>
      <c r="B552" s="2">
        <v>45699</v>
      </c>
      <c r="C552" t="s">
        <v>17</v>
      </c>
      <c r="D552" t="s">
        <v>28</v>
      </c>
      <c r="E552" t="s">
        <v>1433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  <c r="Q552">
        <f t="shared" si="16"/>
        <v>0</v>
      </c>
      <c r="R552" t="str">
        <f t="shared" si="17"/>
        <v/>
      </c>
    </row>
    <row r="553" spans="1:18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  <c r="Q553">
        <f t="shared" si="16"/>
        <v>0</v>
      </c>
      <c r="R553" t="str">
        <f t="shared" si="17"/>
        <v/>
      </c>
    </row>
    <row r="554" spans="1:18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  <c r="Q554">
        <f t="shared" si="16"/>
        <v>0</v>
      </c>
      <c r="R554" t="str">
        <f t="shared" si="17"/>
        <v/>
      </c>
    </row>
    <row r="555" spans="1:18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  <c r="Q555">
        <f t="shared" si="16"/>
        <v>0</v>
      </c>
      <c r="R555" t="str">
        <f t="shared" si="17"/>
        <v/>
      </c>
    </row>
    <row r="556" spans="1:18">
      <c r="A556" t="s">
        <v>586</v>
      </c>
      <c r="B556" s="2">
        <v>45699</v>
      </c>
      <c r="C556" t="s">
        <v>17</v>
      </c>
      <c r="D556" t="s">
        <v>32</v>
      </c>
      <c r="E556" t="s">
        <v>1433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  <c r="Q556">
        <f t="shared" si="16"/>
        <v>0</v>
      </c>
      <c r="R556" t="str">
        <f t="shared" si="17"/>
        <v/>
      </c>
    </row>
    <row r="557" spans="1:18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  <c r="Q557">
        <f t="shared" si="16"/>
        <v>0</v>
      </c>
      <c r="R557" t="str">
        <f t="shared" si="17"/>
        <v/>
      </c>
    </row>
    <row r="558" spans="1:18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  <c r="Q558">
        <f t="shared" si="16"/>
        <v>0</v>
      </c>
      <c r="R558" t="str">
        <f t="shared" si="17"/>
        <v/>
      </c>
    </row>
    <row r="559" spans="1:18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  <c r="Q559">
        <f t="shared" si="16"/>
        <v>0</v>
      </c>
      <c r="R559" t="str">
        <f t="shared" si="17"/>
        <v/>
      </c>
    </row>
    <row r="560" spans="1:18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  <c r="Q560">
        <f t="shared" si="16"/>
        <v>0</v>
      </c>
      <c r="R560" t="str">
        <f t="shared" si="17"/>
        <v/>
      </c>
    </row>
    <row r="561" spans="1:18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  <c r="Q561">
        <f t="shared" si="16"/>
        <v>0</v>
      </c>
      <c r="R561" t="str">
        <f t="shared" si="17"/>
        <v/>
      </c>
    </row>
    <row r="562" spans="1:18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  <c r="Q562">
        <f t="shared" si="16"/>
        <v>0</v>
      </c>
      <c r="R562" t="str">
        <f t="shared" si="17"/>
        <v/>
      </c>
    </row>
    <row r="563" spans="1:18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  <c r="Q563">
        <f t="shared" si="16"/>
        <v>0</v>
      </c>
      <c r="R563" t="str">
        <f t="shared" si="17"/>
        <v/>
      </c>
    </row>
    <row r="564" spans="1:18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  <c r="Q564">
        <f t="shared" si="16"/>
        <v>0</v>
      </c>
      <c r="R564" t="str">
        <f t="shared" si="17"/>
        <v/>
      </c>
    </row>
    <row r="565" spans="1:18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  <c r="Q565">
        <f t="shared" si="16"/>
        <v>0</v>
      </c>
      <c r="R565" t="str">
        <f t="shared" si="17"/>
        <v/>
      </c>
    </row>
    <row r="566" spans="1:18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  <c r="Q566">
        <f t="shared" si="16"/>
        <v>0</v>
      </c>
      <c r="R566" t="str">
        <f t="shared" si="17"/>
        <v/>
      </c>
    </row>
    <row r="567" spans="1:18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  <c r="Q567">
        <f t="shared" si="16"/>
        <v>0</v>
      </c>
      <c r="R567" t="str">
        <f t="shared" si="17"/>
        <v/>
      </c>
    </row>
    <row r="568" spans="1:18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  <c r="Q568">
        <f t="shared" si="16"/>
        <v>0</v>
      </c>
      <c r="R568" t="str">
        <f t="shared" si="17"/>
        <v/>
      </c>
    </row>
    <row r="569" spans="1:18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  <c r="Q569">
        <f t="shared" si="16"/>
        <v>0</v>
      </c>
      <c r="R569" t="str">
        <f t="shared" si="17"/>
        <v/>
      </c>
    </row>
    <row r="570" spans="1:18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  <c r="Q570">
        <f t="shared" si="16"/>
        <v>0</v>
      </c>
      <c r="R570" t="str">
        <f t="shared" si="17"/>
        <v/>
      </c>
    </row>
    <row r="571" spans="1:18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  <c r="Q571">
        <f t="shared" si="16"/>
        <v>0</v>
      </c>
      <c r="R571" t="str">
        <f t="shared" si="17"/>
        <v/>
      </c>
    </row>
    <row r="572" spans="1:18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  <c r="Q572">
        <f t="shared" si="16"/>
        <v>0</v>
      </c>
      <c r="R572" t="str">
        <f t="shared" si="17"/>
        <v/>
      </c>
    </row>
    <row r="573" spans="1:18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  <c r="Q573">
        <f t="shared" si="16"/>
        <v>0</v>
      </c>
      <c r="R573" t="str">
        <f t="shared" si="17"/>
        <v/>
      </c>
    </row>
    <row r="574" spans="1:18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  <c r="Q574">
        <f t="shared" si="16"/>
        <v>0</v>
      </c>
      <c r="R574" t="str">
        <f t="shared" si="17"/>
        <v/>
      </c>
    </row>
    <row r="575" spans="1:18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  <c r="Q575">
        <f t="shared" si="16"/>
        <v>0</v>
      </c>
      <c r="R575" t="str">
        <f t="shared" si="17"/>
        <v/>
      </c>
    </row>
    <row r="576" spans="1:18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  <c r="Q576">
        <f t="shared" si="16"/>
        <v>0</v>
      </c>
      <c r="R576" t="str">
        <f t="shared" si="17"/>
        <v/>
      </c>
    </row>
    <row r="577" spans="1:18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  <c r="Q577">
        <f t="shared" si="16"/>
        <v>0</v>
      </c>
      <c r="R577" t="str">
        <f t="shared" si="17"/>
        <v/>
      </c>
    </row>
    <row r="578" spans="1:18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  <c r="Q578">
        <f t="shared" si="16"/>
        <v>0</v>
      </c>
      <c r="R578" t="str">
        <f t="shared" si="17"/>
        <v/>
      </c>
    </row>
    <row r="579" spans="1:18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  <c r="Q579">
        <f t="shared" ref="Q579:Q642" si="18">IF(C579="Control",K579,"")</f>
        <v>0</v>
      </c>
      <c r="R579" t="str">
        <f t="shared" ref="R579:R642" si="19">IF(C579="Treatment",K579,"")</f>
        <v/>
      </c>
    </row>
    <row r="580" spans="1:18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  <c r="Q580">
        <f t="shared" si="18"/>
        <v>0</v>
      </c>
      <c r="R580" t="str">
        <f t="shared" si="19"/>
        <v/>
      </c>
    </row>
    <row r="581" spans="1:18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  <c r="Q581">
        <f t="shared" si="18"/>
        <v>0</v>
      </c>
      <c r="R581" t="str">
        <f t="shared" si="19"/>
        <v/>
      </c>
    </row>
    <row r="582" spans="1:18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  <c r="Q582">
        <f t="shared" si="18"/>
        <v>0</v>
      </c>
      <c r="R582" t="str">
        <f t="shared" si="19"/>
        <v/>
      </c>
    </row>
    <row r="583" spans="1:18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  <c r="Q583">
        <f t="shared" si="18"/>
        <v>0</v>
      </c>
      <c r="R583" t="str">
        <f t="shared" si="19"/>
        <v/>
      </c>
    </row>
    <row r="584" spans="1:18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  <c r="Q584">
        <f t="shared" si="18"/>
        <v>0</v>
      </c>
      <c r="R584" t="str">
        <f t="shared" si="19"/>
        <v/>
      </c>
    </row>
    <row r="585" spans="1:18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  <c r="Q585">
        <f t="shared" si="18"/>
        <v>0</v>
      </c>
      <c r="R585" t="str">
        <f t="shared" si="19"/>
        <v/>
      </c>
    </row>
    <row r="586" spans="1:18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  <c r="Q586">
        <f t="shared" si="18"/>
        <v>0</v>
      </c>
      <c r="R586" t="str">
        <f t="shared" si="19"/>
        <v/>
      </c>
    </row>
    <row r="587" spans="1:18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  <c r="Q587">
        <f t="shared" si="18"/>
        <v>0</v>
      </c>
      <c r="R587" t="str">
        <f t="shared" si="19"/>
        <v/>
      </c>
    </row>
    <row r="588" spans="1:18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  <c r="Q588">
        <f t="shared" si="18"/>
        <v>0</v>
      </c>
      <c r="R588" t="str">
        <f t="shared" si="19"/>
        <v/>
      </c>
    </row>
    <row r="589" spans="1:18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  <c r="Q589">
        <f t="shared" si="18"/>
        <v>0</v>
      </c>
      <c r="R589" t="str">
        <f t="shared" si="19"/>
        <v/>
      </c>
    </row>
    <row r="590" spans="1:18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  <c r="Q590">
        <f t="shared" si="18"/>
        <v>0</v>
      </c>
      <c r="R590" t="str">
        <f t="shared" si="19"/>
        <v/>
      </c>
    </row>
    <row r="591" spans="1:18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  <c r="Q591">
        <f t="shared" si="18"/>
        <v>0</v>
      </c>
      <c r="R591" t="str">
        <f t="shared" si="19"/>
        <v/>
      </c>
    </row>
    <row r="592" spans="1:18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  <c r="Q592">
        <f t="shared" si="18"/>
        <v>0</v>
      </c>
      <c r="R592" t="str">
        <f t="shared" si="19"/>
        <v/>
      </c>
    </row>
    <row r="593" spans="1:18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  <c r="Q593">
        <f t="shared" si="18"/>
        <v>0</v>
      </c>
      <c r="R593" t="str">
        <f t="shared" si="19"/>
        <v/>
      </c>
    </row>
    <row r="594" spans="1:18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  <c r="Q594">
        <f t="shared" si="18"/>
        <v>0</v>
      </c>
      <c r="R594" t="str">
        <f t="shared" si="19"/>
        <v/>
      </c>
    </row>
    <row r="595" spans="1:18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  <c r="Q595">
        <f t="shared" si="18"/>
        <v>1</v>
      </c>
      <c r="R595" t="str">
        <f t="shared" si="19"/>
        <v/>
      </c>
    </row>
    <row r="596" spans="1:18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  <c r="Q596">
        <f t="shared" si="18"/>
        <v>0</v>
      </c>
      <c r="R596" t="str">
        <f t="shared" si="19"/>
        <v/>
      </c>
    </row>
    <row r="597" spans="1:18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  <c r="Q597">
        <f t="shared" si="18"/>
        <v>0</v>
      </c>
      <c r="R597" t="str">
        <f t="shared" si="19"/>
        <v/>
      </c>
    </row>
    <row r="598" spans="1:18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  <c r="Q598">
        <f t="shared" si="18"/>
        <v>0</v>
      </c>
      <c r="R598" t="str">
        <f t="shared" si="19"/>
        <v/>
      </c>
    </row>
    <row r="599" spans="1:18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  <c r="Q599">
        <f t="shared" si="18"/>
        <v>0</v>
      </c>
      <c r="R599" t="str">
        <f t="shared" si="19"/>
        <v/>
      </c>
    </row>
    <row r="600" spans="1:18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  <c r="Q600">
        <f t="shared" si="18"/>
        <v>0</v>
      </c>
      <c r="R600" t="str">
        <f t="shared" si="19"/>
        <v/>
      </c>
    </row>
    <row r="601" spans="1:18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  <c r="Q601">
        <f t="shared" si="18"/>
        <v>0</v>
      </c>
      <c r="R601" t="str">
        <f t="shared" si="19"/>
        <v/>
      </c>
    </row>
    <row r="602" spans="1:18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  <c r="Q602">
        <f t="shared" si="18"/>
        <v>0</v>
      </c>
      <c r="R602" t="str">
        <f t="shared" si="19"/>
        <v/>
      </c>
    </row>
    <row r="603" spans="1:18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  <c r="Q603">
        <f t="shared" si="18"/>
        <v>0</v>
      </c>
      <c r="R603" t="str">
        <f t="shared" si="19"/>
        <v/>
      </c>
    </row>
    <row r="604" spans="1:18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  <c r="Q604">
        <f t="shared" si="18"/>
        <v>0</v>
      </c>
      <c r="R604" t="str">
        <f t="shared" si="19"/>
        <v/>
      </c>
    </row>
    <row r="605" spans="1:18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  <c r="Q605">
        <f t="shared" si="18"/>
        <v>0</v>
      </c>
      <c r="R605" t="str">
        <f t="shared" si="19"/>
        <v/>
      </c>
    </row>
    <row r="606" spans="1:18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  <c r="Q606">
        <f t="shared" si="18"/>
        <v>0</v>
      </c>
      <c r="R606" t="str">
        <f t="shared" si="19"/>
        <v/>
      </c>
    </row>
    <row r="607" spans="1:18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  <c r="Q607">
        <f t="shared" si="18"/>
        <v>0</v>
      </c>
      <c r="R607" t="str">
        <f t="shared" si="19"/>
        <v/>
      </c>
    </row>
    <row r="608" spans="1:18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  <c r="Q608">
        <f t="shared" si="18"/>
        <v>0</v>
      </c>
      <c r="R608" t="str">
        <f t="shared" si="19"/>
        <v/>
      </c>
    </row>
    <row r="609" spans="1:18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  <c r="Q609">
        <f t="shared" si="18"/>
        <v>0</v>
      </c>
      <c r="R609" t="str">
        <f t="shared" si="19"/>
        <v/>
      </c>
    </row>
    <row r="610" spans="1:18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  <c r="Q610">
        <f t="shared" si="18"/>
        <v>0</v>
      </c>
      <c r="R610" t="str">
        <f t="shared" si="19"/>
        <v/>
      </c>
    </row>
    <row r="611" spans="1:18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  <c r="Q611">
        <f t="shared" si="18"/>
        <v>0</v>
      </c>
      <c r="R611" t="str">
        <f t="shared" si="19"/>
        <v/>
      </c>
    </row>
    <row r="612" spans="1:18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  <c r="Q612">
        <f t="shared" si="18"/>
        <v>0</v>
      </c>
      <c r="R612" t="str">
        <f t="shared" si="19"/>
        <v/>
      </c>
    </row>
    <row r="613" spans="1:18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  <c r="Q613">
        <f t="shared" si="18"/>
        <v>0</v>
      </c>
      <c r="R613" t="str">
        <f t="shared" si="19"/>
        <v/>
      </c>
    </row>
    <row r="614" spans="1:18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  <c r="Q614">
        <f t="shared" si="18"/>
        <v>0</v>
      </c>
      <c r="R614" t="str">
        <f t="shared" si="19"/>
        <v/>
      </c>
    </row>
    <row r="615" spans="1:18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  <c r="Q615">
        <f t="shared" si="18"/>
        <v>0</v>
      </c>
      <c r="R615" t="str">
        <f t="shared" si="19"/>
        <v/>
      </c>
    </row>
    <row r="616" spans="1:18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  <c r="Q616">
        <f t="shared" si="18"/>
        <v>0</v>
      </c>
      <c r="R616" t="str">
        <f t="shared" si="19"/>
        <v/>
      </c>
    </row>
    <row r="617" spans="1:18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  <c r="Q617">
        <f t="shared" si="18"/>
        <v>0</v>
      </c>
      <c r="R617" t="str">
        <f t="shared" si="19"/>
        <v/>
      </c>
    </row>
    <row r="618" spans="1:18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  <c r="Q618">
        <f t="shared" si="18"/>
        <v>0</v>
      </c>
      <c r="R618" t="str">
        <f t="shared" si="19"/>
        <v/>
      </c>
    </row>
    <row r="619" spans="1:18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  <c r="Q619">
        <f t="shared" si="18"/>
        <v>0</v>
      </c>
      <c r="R619" t="str">
        <f t="shared" si="19"/>
        <v/>
      </c>
    </row>
    <row r="620" spans="1:18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  <c r="Q620">
        <f t="shared" si="18"/>
        <v>0</v>
      </c>
      <c r="R620" t="str">
        <f t="shared" si="19"/>
        <v/>
      </c>
    </row>
    <row r="621" spans="1:18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  <c r="Q621">
        <f t="shared" si="18"/>
        <v>0</v>
      </c>
      <c r="R621" t="str">
        <f t="shared" si="19"/>
        <v/>
      </c>
    </row>
    <row r="622" spans="1:18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  <c r="Q622">
        <f t="shared" si="18"/>
        <v>0</v>
      </c>
      <c r="R622" t="str">
        <f t="shared" si="19"/>
        <v/>
      </c>
    </row>
    <row r="623" spans="1:18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  <c r="Q623">
        <f t="shared" si="18"/>
        <v>0</v>
      </c>
      <c r="R623" t="str">
        <f t="shared" si="19"/>
        <v/>
      </c>
    </row>
    <row r="624" spans="1:18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  <c r="Q624">
        <f t="shared" si="18"/>
        <v>0</v>
      </c>
      <c r="R624" t="str">
        <f t="shared" si="19"/>
        <v/>
      </c>
    </row>
    <row r="625" spans="1:18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  <c r="Q625">
        <f t="shared" si="18"/>
        <v>0</v>
      </c>
      <c r="R625" t="str">
        <f t="shared" si="19"/>
        <v/>
      </c>
    </row>
    <row r="626" spans="1:18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  <c r="Q626">
        <f t="shared" si="18"/>
        <v>0</v>
      </c>
      <c r="R626" t="str">
        <f t="shared" si="19"/>
        <v/>
      </c>
    </row>
    <row r="627" spans="1:18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  <c r="Q627">
        <f t="shared" si="18"/>
        <v>0</v>
      </c>
      <c r="R627" t="str">
        <f t="shared" si="19"/>
        <v/>
      </c>
    </row>
    <row r="628" spans="1:18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  <c r="Q628">
        <f t="shared" si="18"/>
        <v>0</v>
      </c>
      <c r="R628" t="str">
        <f t="shared" si="19"/>
        <v/>
      </c>
    </row>
    <row r="629" spans="1:18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  <c r="Q629">
        <f t="shared" si="18"/>
        <v>0</v>
      </c>
      <c r="R629" t="str">
        <f t="shared" si="19"/>
        <v/>
      </c>
    </row>
    <row r="630" spans="1:18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  <c r="Q630">
        <f t="shared" si="18"/>
        <v>0</v>
      </c>
      <c r="R630" t="str">
        <f t="shared" si="19"/>
        <v/>
      </c>
    </row>
    <row r="631" spans="1:18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  <c r="Q631">
        <f t="shared" si="18"/>
        <v>0</v>
      </c>
      <c r="R631" t="str">
        <f t="shared" si="19"/>
        <v/>
      </c>
    </row>
    <row r="632" spans="1:18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  <c r="Q632">
        <f t="shared" si="18"/>
        <v>0</v>
      </c>
      <c r="R632" t="str">
        <f t="shared" si="19"/>
        <v/>
      </c>
    </row>
    <row r="633" spans="1:18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Q633">
        <f t="shared" si="18"/>
        <v>0</v>
      </c>
      <c r="R633" t="str">
        <f t="shared" si="19"/>
        <v/>
      </c>
    </row>
    <row r="634" spans="1:18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  <c r="Q634">
        <f t="shared" si="18"/>
        <v>0</v>
      </c>
      <c r="R634" t="str">
        <f t="shared" si="19"/>
        <v/>
      </c>
    </row>
    <row r="635" spans="1:18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  <c r="Q635">
        <f t="shared" si="18"/>
        <v>0</v>
      </c>
      <c r="R635" t="str">
        <f t="shared" si="19"/>
        <v/>
      </c>
    </row>
    <row r="636" spans="1:18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F636" t="s">
        <v>1433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  <c r="Q636">
        <f t="shared" si="18"/>
        <v>0</v>
      </c>
      <c r="R636" t="str">
        <f t="shared" si="19"/>
        <v/>
      </c>
    </row>
    <row r="637" spans="1:18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  <c r="Q637">
        <f t="shared" si="18"/>
        <v>0</v>
      </c>
      <c r="R637" t="str">
        <f t="shared" si="19"/>
        <v/>
      </c>
    </row>
    <row r="638" spans="1:18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  <c r="Q638">
        <f t="shared" si="18"/>
        <v>0</v>
      </c>
      <c r="R638" t="str">
        <f t="shared" si="19"/>
        <v/>
      </c>
    </row>
    <row r="639" spans="1:18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  <c r="Q639">
        <f t="shared" si="18"/>
        <v>0</v>
      </c>
      <c r="R639" t="str">
        <f t="shared" si="19"/>
        <v/>
      </c>
    </row>
    <row r="640" spans="1:18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  <c r="Q640">
        <f t="shared" si="18"/>
        <v>0</v>
      </c>
      <c r="R640" t="str">
        <f t="shared" si="19"/>
        <v/>
      </c>
    </row>
    <row r="641" spans="1:18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  <c r="Q641">
        <f t="shared" si="18"/>
        <v>0</v>
      </c>
      <c r="R641" t="str">
        <f t="shared" si="19"/>
        <v/>
      </c>
    </row>
    <row r="642" spans="1:18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  <c r="Q642">
        <f t="shared" si="18"/>
        <v>0</v>
      </c>
      <c r="R642" t="str">
        <f t="shared" si="19"/>
        <v/>
      </c>
    </row>
    <row r="643" spans="1:18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  <c r="Q643">
        <f t="shared" ref="Q643:Q706" si="20">IF(C643="Control",K643,"")</f>
        <v>0</v>
      </c>
      <c r="R643" t="str">
        <f t="shared" ref="R643:R706" si="21">IF(C643="Treatment",K643,"")</f>
        <v/>
      </c>
    </row>
    <row r="644" spans="1:18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  <c r="Q644">
        <f t="shared" si="20"/>
        <v>0</v>
      </c>
      <c r="R644" t="str">
        <f t="shared" si="21"/>
        <v/>
      </c>
    </row>
    <row r="645" spans="1:18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  <c r="Q645">
        <f t="shared" si="20"/>
        <v>0</v>
      </c>
      <c r="R645" t="str">
        <f t="shared" si="21"/>
        <v/>
      </c>
    </row>
    <row r="646" spans="1:18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  <c r="Q646">
        <f t="shared" si="20"/>
        <v>0</v>
      </c>
      <c r="R646" t="str">
        <f t="shared" si="21"/>
        <v/>
      </c>
    </row>
    <row r="647" spans="1:18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  <c r="Q647">
        <f t="shared" si="20"/>
        <v>0</v>
      </c>
      <c r="R647" t="str">
        <f t="shared" si="21"/>
        <v/>
      </c>
    </row>
    <row r="648" spans="1:18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  <c r="Q648">
        <f t="shared" si="20"/>
        <v>0</v>
      </c>
      <c r="R648" t="str">
        <f t="shared" si="21"/>
        <v/>
      </c>
    </row>
    <row r="649" spans="1:18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  <c r="Q649">
        <f t="shared" si="20"/>
        <v>0</v>
      </c>
      <c r="R649" t="str">
        <f t="shared" si="21"/>
        <v/>
      </c>
    </row>
    <row r="650" spans="1:18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  <c r="Q650">
        <f t="shared" si="20"/>
        <v>0</v>
      </c>
      <c r="R650" t="str">
        <f t="shared" si="21"/>
        <v/>
      </c>
    </row>
    <row r="651" spans="1:18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  <c r="Q651">
        <f t="shared" si="20"/>
        <v>0</v>
      </c>
      <c r="R651" t="str">
        <f t="shared" si="21"/>
        <v/>
      </c>
    </row>
    <row r="652" spans="1:18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  <c r="Q652">
        <f t="shared" si="20"/>
        <v>0</v>
      </c>
      <c r="R652" t="str">
        <f t="shared" si="21"/>
        <v/>
      </c>
    </row>
    <row r="653" spans="1:18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  <c r="Q653">
        <f t="shared" si="20"/>
        <v>0</v>
      </c>
      <c r="R653" t="str">
        <f t="shared" si="21"/>
        <v/>
      </c>
    </row>
    <row r="654" spans="1:18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  <c r="Q654">
        <f t="shared" si="20"/>
        <v>0</v>
      </c>
      <c r="R654" t="str">
        <f t="shared" si="21"/>
        <v/>
      </c>
    </row>
    <row r="655" spans="1:18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  <c r="Q655">
        <f t="shared" si="20"/>
        <v>0</v>
      </c>
      <c r="R655" t="str">
        <f t="shared" si="21"/>
        <v/>
      </c>
    </row>
    <row r="656" spans="1:18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  <c r="Q656">
        <f t="shared" si="20"/>
        <v>0</v>
      </c>
      <c r="R656" t="str">
        <f t="shared" si="21"/>
        <v/>
      </c>
    </row>
    <row r="657" spans="1:18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  <c r="Q657">
        <f t="shared" si="20"/>
        <v>0</v>
      </c>
      <c r="R657" t="str">
        <f t="shared" si="21"/>
        <v/>
      </c>
    </row>
    <row r="658" spans="1:18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  <c r="Q658">
        <f t="shared" si="20"/>
        <v>0</v>
      </c>
      <c r="R658" t="str">
        <f t="shared" si="21"/>
        <v/>
      </c>
    </row>
    <row r="659" spans="1:18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  <c r="Q659">
        <f t="shared" si="20"/>
        <v>0</v>
      </c>
      <c r="R659" t="str">
        <f t="shared" si="21"/>
        <v/>
      </c>
    </row>
    <row r="660" spans="1:18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  <c r="Q660">
        <f t="shared" si="20"/>
        <v>0</v>
      </c>
      <c r="R660" t="str">
        <f t="shared" si="21"/>
        <v/>
      </c>
    </row>
    <row r="661" spans="1:18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Q661">
        <f t="shared" si="20"/>
        <v>1</v>
      </c>
      <c r="R661" t="str">
        <f t="shared" si="21"/>
        <v/>
      </c>
    </row>
    <row r="662" spans="1:18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  <c r="Q662">
        <f t="shared" si="20"/>
        <v>0</v>
      </c>
      <c r="R662" t="str">
        <f t="shared" si="21"/>
        <v/>
      </c>
    </row>
    <row r="663" spans="1:18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  <c r="Q663">
        <f t="shared" si="20"/>
        <v>0</v>
      </c>
      <c r="R663" t="str">
        <f t="shared" si="21"/>
        <v/>
      </c>
    </row>
    <row r="664" spans="1:18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  <c r="Q664">
        <f t="shared" si="20"/>
        <v>0</v>
      </c>
      <c r="R664" t="str">
        <f t="shared" si="21"/>
        <v/>
      </c>
    </row>
    <row r="665" spans="1:18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  <c r="Q665">
        <f t="shared" si="20"/>
        <v>0</v>
      </c>
      <c r="R665" t="str">
        <f t="shared" si="21"/>
        <v/>
      </c>
    </row>
    <row r="666" spans="1:18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  <c r="Q666">
        <f t="shared" si="20"/>
        <v>0</v>
      </c>
      <c r="R666" t="str">
        <f t="shared" si="21"/>
        <v/>
      </c>
    </row>
    <row r="667" spans="1:18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  <c r="Q667">
        <f t="shared" si="20"/>
        <v>0</v>
      </c>
      <c r="R667" t="str">
        <f t="shared" si="21"/>
        <v/>
      </c>
    </row>
    <row r="668" spans="1:18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  <c r="Q668">
        <f t="shared" si="20"/>
        <v>0</v>
      </c>
      <c r="R668" t="str">
        <f t="shared" si="21"/>
        <v/>
      </c>
    </row>
    <row r="669" spans="1:18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  <c r="Q669">
        <f t="shared" si="20"/>
        <v>0</v>
      </c>
      <c r="R669" t="str">
        <f t="shared" si="21"/>
        <v/>
      </c>
    </row>
    <row r="670" spans="1:18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  <c r="Q670">
        <f t="shared" si="20"/>
        <v>0</v>
      </c>
      <c r="R670" t="str">
        <f t="shared" si="21"/>
        <v/>
      </c>
    </row>
    <row r="671" spans="1:18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  <c r="Q671">
        <f t="shared" si="20"/>
        <v>0</v>
      </c>
      <c r="R671" t="str">
        <f t="shared" si="21"/>
        <v/>
      </c>
    </row>
    <row r="672" spans="1:18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  <c r="Q672">
        <f t="shared" si="20"/>
        <v>0</v>
      </c>
      <c r="R672" t="str">
        <f t="shared" si="21"/>
        <v/>
      </c>
    </row>
    <row r="673" spans="1:18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  <c r="Q673">
        <f t="shared" si="20"/>
        <v>0</v>
      </c>
      <c r="R673" t="str">
        <f t="shared" si="21"/>
        <v/>
      </c>
    </row>
    <row r="674" spans="1:18">
      <c r="A674" t="s">
        <v>704</v>
      </c>
      <c r="B674" s="2">
        <v>45667</v>
      </c>
      <c r="C674" t="s">
        <v>17</v>
      </c>
      <c r="D674" t="s">
        <v>23</v>
      </c>
      <c r="E674" t="s">
        <v>1433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  <c r="Q674">
        <f t="shared" si="20"/>
        <v>0</v>
      </c>
      <c r="R674" t="str">
        <f t="shared" si="21"/>
        <v/>
      </c>
    </row>
    <row r="675" spans="1:18">
      <c r="A675" t="s">
        <v>705</v>
      </c>
      <c r="B675" s="2">
        <v>45737</v>
      </c>
      <c r="C675" t="s">
        <v>17</v>
      </c>
      <c r="D675" t="s">
        <v>32</v>
      </c>
      <c r="E675" t="s">
        <v>1433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  <c r="Q675">
        <f t="shared" si="20"/>
        <v>0</v>
      </c>
      <c r="R675" t="str">
        <f t="shared" si="21"/>
        <v/>
      </c>
    </row>
    <row r="676" spans="1:18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  <c r="Q676">
        <f t="shared" si="20"/>
        <v>0</v>
      </c>
      <c r="R676" t="str">
        <f t="shared" si="21"/>
        <v/>
      </c>
    </row>
    <row r="677" spans="1:18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  <c r="Q677">
        <f t="shared" si="20"/>
        <v>0</v>
      </c>
      <c r="R677" t="str">
        <f t="shared" si="21"/>
        <v/>
      </c>
    </row>
    <row r="678" spans="1:18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  <c r="Q678">
        <f t="shared" si="20"/>
        <v>0</v>
      </c>
      <c r="R678" t="str">
        <f t="shared" si="21"/>
        <v/>
      </c>
    </row>
    <row r="679" spans="1:18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  <c r="Q679">
        <f t="shared" si="20"/>
        <v>0</v>
      </c>
      <c r="R679" t="str">
        <f t="shared" si="21"/>
        <v/>
      </c>
    </row>
    <row r="680" spans="1:18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  <c r="Q680">
        <f t="shared" si="20"/>
        <v>0</v>
      </c>
      <c r="R680" t="str">
        <f t="shared" si="21"/>
        <v/>
      </c>
    </row>
    <row r="681" spans="1:18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  <c r="Q681">
        <f t="shared" si="20"/>
        <v>0</v>
      </c>
      <c r="R681" t="str">
        <f t="shared" si="21"/>
        <v/>
      </c>
    </row>
    <row r="682" spans="1:18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  <c r="Q682">
        <f t="shared" si="20"/>
        <v>0</v>
      </c>
      <c r="R682" t="str">
        <f t="shared" si="21"/>
        <v/>
      </c>
    </row>
    <row r="683" spans="1:18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  <c r="Q683">
        <f t="shared" si="20"/>
        <v>0</v>
      </c>
      <c r="R683" t="str">
        <f t="shared" si="21"/>
        <v/>
      </c>
    </row>
    <row r="684" spans="1:18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  <c r="Q684">
        <f t="shared" si="20"/>
        <v>0</v>
      </c>
      <c r="R684" t="str">
        <f t="shared" si="21"/>
        <v/>
      </c>
    </row>
    <row r="685" spans="1:18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  <c r="Q685">
        <f t="shared" si="20"/>
        <v>0</v>
      </c>
      <c r="R685" t="str">
        <f t="shared" si="21"/>
        <v/>
      </c>
    </row>
    <row r="686" spans="1:18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  <c r="Q686">
        <f t="shared" si="20"/>
        <v>0</v>
      </c>
      <c r="R686" t="str">
        <f t="shared" si="21"/>
        <v/>
      </c>
    </row>
    <row r="687" spans="1:18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  <c r="Q687">
        <f t="shared" si="20"/>
        <v>0</v>
      </c>
      <c r="R687" t="str">
        <f t="shared" si="21"/>
        <v/>
      </c>
    </row>
    <row r="688" spans="1:18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  <c r="Q688">
        <f t="shared" si="20"/>
        <v>0</v>
      </c>
      <c r="R688" t="str">
        <f t="shared" si="21"/>
        <v/>
      </c>
    </row>
    <row r="689" spans="1:18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  <c r="Q689">
        <f t="shared" si="20"/>
        <v>0</v>
      </c>
      <c r="R689" t="str">
        <f t="shared" si="21"/>
        <v/>
      </c>
    </row>
    <row r="690" spans="1:18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F690" t="s">
        <v>1433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  <c r="Q690">
        <f t="shared" si="20"/>
        <v>0</v>
      </c>
      <c r="R690" t="str">
        <f t="shared" si="21"/>
        <v/>
      </c>
    </row>
    <row r="691" spans="1:18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  <c r="Q691">
        <f t="shared" si="20"/>
        <v>0</v>
      </c>
      <c r="R691" t="str">
        <f t="shared" si="21"/>
        <v/>
      </c>
    </row>
    <row r="692" spans="1:18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  <c r="Q692" t="str">
        <f t="shared" si="20"/>
        <v/>
      </c>
      <c r="R692">
        <f t="shared" si="21"/>
        <v>0</v>
      </c>
    </row>
    <row r="693" spans="1:18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  <c r="Q693" t="str">
        <f t="shared" si="20"/>
        <v/>
      </c>
      <c r="R693">
        <f t="shared" si="21"/>
        <v>0</v>
      </c>
    </row>
    <row r="694" spans="1:18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  <c r="Q694" t="str">
        <f t="shared" si="20"/>
        <v/>
      </c>
      <c r="R694">
        <f t="shared" si="21"/>
        <v>0</v>
      </c>
    </row>
    <row r="695" spans="1:18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Q695" t="str">
        <f t="shared" si="20"/>
        <v/>
      </c>
      <c r="R695">
        <f t="shared" si="21"/>
        <v>0</v>
      </c>
    </row>
    <row r="696" spans="1:18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  <c r="Q696" t="str">
        <f t="shared" si="20"/>
        <v/>
      </c>
      <c r="R696">
        <f t="shared" si="21"/>
        <v>0</v>
      </c>
    </row>
    <row r="697" spans="1:18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  <c r="Q697" t="str">
        <f t="shared" si="20"/>
        <v/>
      </c>
      <c r="R697">
        <f t="shared" si="21"/>
        <v>0</v>
      </c>
    </row>
    <row r="698" spans="1:18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  <c r="Q698" t="str">
        <f t="shared" si="20"/>
        <v/>
      </c>
      <c r="R698">
        <f t="shared" si="21"/>
        <v>0</v>
      </c>
    </row>
    <row r="699" spans="1:18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  <c r="Q699" t="str">
        <f t="shared" si="20"/>
        <v/>
      </c>
      <c r="R699">
        <f t="shared" si="21"/>
        <v>0</v>
      </c>
    </row>
    <row r="700" spans="1:18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  <c r="Q700" t="str">
        <f t="shared" si="20"/>
        <v/>
      </c>
      <c r="R700">
        <f t="shared" si="21"/>
        <v>0</v>
      </c>
    </row>
    <row r="701" spans="1:18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  <c r="Q701" t="str">
        <f t="shared" si="20"/>
        <v/>
      </c>
      <c r="R701">
        <f t="shared" si="21"/>
        <v>0</v>
      </c>
    </row>
    <row r="702" spans="1:18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Q702" t="str">
        <f t="shared" si="20"/>
        <v/>
      </c>
      <c r="R702">
        <f t="shared" si="21"/>
        <v>1</v>
      </c>
    </row>
    <row r="703" spans="1:18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  <c r="Q703" t="str">
        <f t="shared" si="20"/>
        <v/>
      </c>
      <c r="R703">
        <f t="shared" si="21"/>
        <v>0</v>
      </c>
    </row>
    <row r="704" spans="1:18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  <c r="Q704" t="str">
        <f t="shared" si="20"/>
        <v/>
      </c>
      <c r="R704">
        <f t="shared" si="21"/>
        <v>0</v>
      </c>
    </row>
    <row r="705" spans="1:18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  <c r="Q705" t="str">
        <f t="shared" si="20"/>
        <v/>
      </c>
      <c r="R705">
        <f t="shared" si="21"/>
        <v>0</v>
      </c>
    </row>
    <row r="706" spans="1:18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  <c r="Q706" t="str">
        <f t="shared" si="20"/>
        <v/>
      </c>
      <c r="R706">
        <f t="shared" si="21"/>
        <v>0</v>
      </c>
    </row>
    <row r="707" spans="1:18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  <c r="Q707" t="str">
        <f t="shared" ref="Q707:Q770" si="22">IF(C707="Control",K707,"")</f>
        <v/>
      </c>
      <c r="R707">
        <f t="shared" ref="R707:R770" si="23">IF(C707="Treatment",K707,"")</f>
        <v>0</v>
      </c>
    </row>
    <row r="708" spans="1:18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Q708" t="str">
        <f t="shared" si="22"/>
        <v/>
      </c>
      <c r="R708">
        <f t="shared" si="23"/>
        <v>0</v>
      </c>
    </row>
    <row r="709" spans="1:18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  <c r="Q709" t="str">
        <f t="shared" si="22"/>
        <v/>
      </c>
      <c r="R709">
        <f t="shared" si="23"/>
        <v>0</v>
      </c>
    </row>
    <row r="710" spans="1:18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  <c r="Q710" t="str">
        <f t="shared" si="22"/>
        <v/>
      </c>
      <c r="R710">
        <f t="shared" si="23"/>
        <v>0</v>
      </c>
    </row>
    <row r="711" spans="1:18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  <c r="Q711" t="str">
        <f t="shared" si="22"/>
        <v/>
      </c>
      <c r="R711">
        <f t="shared" si="23"/>
        <v>0</v>
      </c>
    </row>
    <row r="712" spans="1:18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  <c r="Q712" t="str">
        <f t="shared" si="22"/>
        <v/>
      </c>
      <c r="R712">
        <f t="shared" si="23"/>
        <v>0</v>
      </c>
    </row>
    <row r="713" spans="1:18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  <c r="Q713" t="str">
        <f t="shared" si="22"/>
        <v/>
      </c>
      <c r="R713">
        <f t="shared" si="23"/>
        <v>0</v>
      </c>
    </row>
    <row r="714" spans="1:18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  <c r="Q714" t="str">
        <f t="shared" si="22"/>
        <v/>
      </c>
      <c r="R714">
        <f t="shared" si="23"/>
        <v>1</v>
      </c>
    </row>
    <row r="715" spans="1:18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Q715" t="str">
        <f t="shared" si="22"/>
        <v/>
      </c>
      <c r="R715">
        <f t="shared" si="23"/>
        <v>1</v>
      </c>
    </row>
    <row r="716" spans="1:18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  <c r="Q716" t="str">
        <f t="shared" si="22"/>
        <v/>
      </c>
      <c r="R716">
        <f t="shared" si="23"/>
        <v>0</v>
      </c>
    </row>
    <row r="717" spans="1:18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  <c r="Q717" t="str">
        <f t="shared" si="22"/>
        <v/>
      </c>
      <c r="R717">
        <f t="shared" si="23"/>
        <v>0</v>
      </c>
    </row>
    <row r="718" spans="1:18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  <c r="Q718" t="str">
        <f t="shared" si="22"/>
        <v/>
      </c>
      <c r="R718">
        <f t="shared" si="23"/>
        <v>0</v>
      </c>
    </row>
    <row r="719" spans="1:18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  <c r="Q719" t="str">
        <f t="shared" si="22"/>
        <v/>
      </c>
      <c r="R719">
        <f t="shared" si="23"/>
        <v>0</v>
      </c>
    </row>
    <row r="720" spans="1:18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  <c r="Q720" t="str">
        <f t="shared" si="22"/>
        <v/>
      </c>
      <c r="R720">
        <f t="shared" si="23"/>
        <v>0</v>
      </c>
    </row>
    <row r="721" spans="1:18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  <c r="Q721" t="str">
        <f t="shared" si="22"/>
        <v/>
      </c>
      <c r="R721">
        <f t="shared" si="23"/>
        <v>0</v>
      </c>
    </row>
    <row r="722" spans="1:18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  <c r="Q722" t="str">
        <f t="shared" si="22"/>
        <v/>
      </c>
      <c r="R722">
        <f t="shared" si="23"/>
        <v>0</v>
      </c>
    </row>
    <row r="723" spans="1:18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  <c r="Q723" t="str">
        <f t="shared" si="22"/>
        <v/>
      </c>
      <c r="R723">
        <f t="shared" si="23"/>
        <v>0</v>
      </c>
    </row>
    <row r="724" spans="1:18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F724" t="s">
        <v>1433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  <c r="Q724" t="str">
        <f t="shared" si="22"/>
        <v/>
      </c>
      <c r="R724">
        <f t="shared" si="23"/>
        <v>0</v>
      </c>
    </row>
    <row r="725" spans="1:18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  <c r="Q725" t="str">
        <f t="shared" si="22"/>
        <v/>
      </c>
      <c r="R725">
        <f t="shared" si="23"/>
        <v>0</v>
      </c>
    </row>
    <row r="726" spans="1:18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  <c r="Q726" t="str">
        <f t="shared" si="22"/>
        <v/>
      </c>
      <c r="R726">
        <f t="shared" si="23"/>
        <v>0</v>
      </c>
    </row>
    <row r="727" spans="1:18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  <c r="Q727" t="str">
        <f t="shared" si="22"/>
        <v/>
      </c>
      <c r="R727">
        <f t="shared" si="23"/>
        <v>0</v>
      </c>
    </row>
    <row r="728" spans="1:18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  <c r="Q728" t="str">
        <f t="shared" si="22"/>
        <v/>
      </c>
      <c r="R728">
        <f t="shared" si="23"/>
        <v>0</v>
      </c>
    </row>
    <row r="729" spans="1:18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  <c r="Q729" t="str">
        <f t="shared" si="22"/>
        <v/>
      </c>
      <c r="R729">
        <f t="shared" si="23"/>
        <v>1</v>
      </c>
    </row>
    <row r="730" spans="1:18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F730" t="s">
        <v>1433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  <c r="Q730" t="str">
        <f t="shared" si="22"/>
        <v/>
      </c>
      <c r="R730">
        <f t="shared" si="23"/>
        <v>0</v>
      </c>
    </row>
    <row r="731" spans="1:18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  <c r="Q731" t="str">
        <f t="shared" si="22"/>
        <v/>
      </c>
      <c r="R731">
        <f t="shared" si="23"/>
        <v>0</v>
      </c>
    </row>
    <row r="732" spans="1:18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  <c r="Q732" t="str">
        <f t="shared" si="22"/>
        <v/>
      </c>
      <c r="R732">
        <f t="shared" si="23"/>
        <v>0</v>
      </c>
    </row>
    <row r="733" spans="1:18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  <c r="Q733" t="str">
        <f t="shared" si="22"/>
        <v/>
      </c>
      <c r="R733">
        <f t="shared" si="23"/>
        <v>1</v>
      </c>
    </row>
    <row r="734" spans="1:18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  <c r="Q734" t="str">
        <f t="shared" si="22"/>
        <v/>
      </c>
      <c r="R734">
        <f t="shared" si="23"/>
        <v>0</v>
      </c>
    </row>
    <row r="735" spans="1:18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  <c r="Q735" t="str">
        <f t="shared" si="22"/>
        <v/>
      </c>
      <c r="R735">
        <f t="shared" si="23"/>
        <v>0</v>
      </c>
    </row>
    <row r="736" spans="1:18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  <c r="Q736" t="str">
        <f t="shared" si="22"/>
        <v/>
      </c>
      <c r="R736">
        <f t="shared" si="23"/>
        <v>0</v>
      </c>
    </row>
    <row r="737" spans="1:18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  <c r="Q737" t="str">
        <f t="shared" si="22"/>
        <v/>
      </c>
      <c r="R737">
        <f t="shared" si="23"/>
        <v>0</v>
      </c>
    </row>
    <row r="738" spans="1:18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  <c r="Q738" t="str">
        <f t="shared" si="22"/>
        <v/>
      </c>
      <c r="R738">
        <f t="shared" si="23"/>
        <v>0</v>
      </c>
    </row>
    <row r="739" spans="1:18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  <c r="Q739" t="str">
        <f t="shared" si="22"/>
        <v/>
      </c>
      <c r="R739">
        <f t="shared" si="23"/>
        <v>0</v>
      </c>
    </row>
    <row r="740" spans="1:18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  <c r="Q740" t="str">
        <f t="shared" si="22"/>
        <v/>
      </c>
      <c r="R740">
        <f t="shared" si="23"/>
        <v>0</v>
      </c>
    </row>
    <row r="741" spans="1:18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  <c r="Q741" t="str">
        <f t="shared" si="22"/>
        <v/>
      </c>
      <c r="R741">
        <f t="shared" si="23"/>
        <v>0</v>
      </c>
    </row>
    <row r="742" spans="1:18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F742" t="s">
        <v>1433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  <c r="Q742" t="str">
        <f t="shared" si="22"/>
        <v/>
      </c>
      <c r="R742">
        <f t="shared" si="23"/>
        <v>0</v>
      </c>
    </row>
    <row r="743" spans="1:18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  <c r="Q743" t="str">
        <f t="shared" si="22"/>
        <v/>
      </c>
      <c r="R743">
        <f t="shared" si="23"/>
        <v>0</v>
      </c>
    </row>
    <row r="744" spans="1:18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  <c r="Q744" t="str">
        <f t="shared" si="22"/>
        <v/>
      </c>
      <c r="R744">
        <f t="shared" si="23"/>
        <v>0</v>
      </c>
    </row>
    <row r="745" spans="1:18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  <c r="Q745" t="str">
        <f t="shared" si="22"/>
        <v/>
      </c>
      <c r="R745">
        <f t="shared" si="23"/>
        <v>0</v>
      </c>
    </row>
    <row r="746" spans="1:18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  <c r="Q746" t="str">
        <f t="shared" si="22"/>
        <v/>
      </c>
      <c r="R746">
        <f t="shared" si="23"/>
        <v>0</v>
      </c>
    </row>
    <row r="747" spans="1:18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  <c r="Q747" t="str">
        <f t="shared" si="22"/>
        <v/>
      </c>
      <c r="R747">
        <f t="shared" si="23"/>
        <v>0</v>
      </c>
    </row>
    <row r="748" spans="1:18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  <c r="Q748" t="str">
        <f t="shared" si="22"/>
        <v/>
      </c>
      <c r="R748">
        <f t="shared" si="23"/>
        <v>0</v>
      </c>
    </row>
    <row r="749" spans="1:18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  <c r="Q749" t="str">
        <f t="shared" si="22"/>
        <v/>
      </c>
      <c r="R749">
        <f t="shared" si="23"/>
        <v>0</v>
      </c>
    </row>
    <row r="750" spans="1:18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  <c r="Q750" t="str">
        <f t="shared" si="22"/>
        <v/>
      </c>
      <c r="R750">
        <f t="shared" si="23"/>
        <v>0</v>
      </c>
    </row>
    <row r="751" spans="1:18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  <c r="Q751" t="str">
        <f t="shared" si="22"/>
        <v/>
      </c>
      <c r="R751">
        <f t="shared" si="23"/>
        <v>0</v>
      </c>
    </row>
    <row r="752" spans="1:18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  <c r="Q752" t="str">
        <f t="shared" si="22"/>
        <v/>
      </c>
      <c r="R752">
        <f t="shared" si="23"/>
        <v>0</v>
      </c>
    </row>
    <row r="753" spans="1:18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  <c r="Q753" t="str">
        <f t="shared" si="22"/>
        <v/>
      </c>
      <c r="R753">
        <f t="shared" si="23"/>
        <v>0</v>
      </c>
    </row>
    <row r="754" spans="1:18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  <c r="Q754" t="str">
        <f t="shared" si="22"/>
        <v/>
      </c>
      <c r="R754">
        <f t="shared" si="23"/>
        <v>0</v>
      </c>
    </row>
    <row r="755" spans="1:18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  <c r="Q755" t="str">
        <f t="shared" si="22"/>
        <v/>
      </c>
      <c r="R755">
        <f t="shared" si="23"/>
        <v>0</v>
      </c>
    </row>
    <row r="756" spans="1:18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  <c r="Q756" t="str">
        <f t="shared" si="22"/>
        <v/>
      </c>
      <c r="R756">
        <f t="shared" si="23"/>
        <v>0</v>
      </c>
    </row>
    <row r="757" spans="1:18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  <c r="Q757" t="str">
        <f t="shared" si="22"/>
        <v/>
      </c>
      <c r="R757">
        <f t="shared" si="23"/>
        <v>0</v>
      </c>
    </row>
    <row r="758" spans="1:18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  <c r="Q758" t="str">
        <f t="shared" si="22"/>
        <v/>
      </c>
      <c r="R758">
        <f t="shared" si="23"/>
        <v>0</v>
      </c>
    </row>
    <row r="759" spans="1:18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  <c r="Q759" t="str">
        <f t="shared" si="22"/>
        <v/>
      </c>
      <c r="R759">
        <f t="shared" si="23"/>
        <v>1</v>
      </c>
    </row>
    <row r="760" spans="1:18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  <c r="Q760" t="str">
        <f t="shared" si="22"/>
        <v/>
      </c>
      <c r="R760">
        <f t="shared" si="23"/>
        <v>0</v>
      </c>
    </row>
    <row r="761" spans="1:18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  <c r="Q761" t="str">
        <f t="shared" si="22"/>
        <v/>
      </c>
      <c r="R761">
        <f t="shared" si="23"/>
        <v>0</v>
      </c>
    </row>
    <row r="762" spans="1:18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  <c r="Q762" t="str">
        <f t="shared" si="22"/>
        <v/>
      </c>
      <c r="R762">
        <f t="shared" si="23"/>
        <v>0</v>
      </c>
    </row>
    <row r="763" spans="1:18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Q763" t="str">
        <f t="shared" si="22"/>
        <v/>
      </c>
      <c r="R763">
        <f t="shared" si="23"/>
        <v>0</v>
      </c>
    </row>
    <row r="764" spans="1:18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  <c r="Q764" t="str">
        <f t="shared" si="22"/>
        <v/>
      </c>
      <c r="R764">
        <f t="shared" si="23"/>
        <v>0</v>
      </c>
    </row>
    <row r="765" spans="1:18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  <c r="Q765" t="str">
        <f t="shared" si="22"/>
        <v/>
      </c>
      <c r="R765">
        <f t="shared" si="23"/>
        <v>0</v>
      </c>
    </row>
    <row r="766" spans="1:18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  <c r="Q766" t="str">
        <f t="shared" si="22"/>
        <v/>
      </c>
      <c r="R766">
        <f t="shared" si="23"/>
        <v>0</v>
      </c>
    </row>
    <row r="767" spans="1:18">
      <c r="A767" t="s">
        <v>798</v>
      </c>
      <c r="B767" s="2">
        <v>45671</v>
      </c>
      <c r="C767" t="s">
        <v>723</v>
      </c>
      <c r="D767" t="s">
        <v>23</v>
      </c>
      <c r="E767" t="s">
        <v>1433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  <c r="Q767" t="str">
        <f t="shared" si="22"/>
        <v/>
      </c>
      <c r="R767">
        <f t="shared" si="23"/>
        <v>0</v>
      </c>
    </row>
    <row r="768" spans="1:18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  <c r="Q768" t="str">
        <f t="shared" si="22"/>
        <v/>
      </c>
      <c r="R768">
        <f t="shared" si="23"/>
        <v>0</v>
      </c>
    </row>
    <row r="769" spans="1:18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  <c r="Q769" t="str">
        <f t="shared" si="22"/>
        <v/>
      </c>
      <c r="R769">
        <f t="shared" si="23"/>
        <v>0</v>
      </c>
    </row>
    <row r="770" spans="1:18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  <c r="Q770" t="str">
        <f t="shared" si="22"/>
        <v/>
      </c>
      <c r="R770">
        <f t="shared" si="23"/>
        <v>0</v>
      </c>
    </row>
    <row r="771" spans="1:18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  <c r="Q771" t="str">
        <f t="shared" ref="Q771:Q834" si="24">IF(C771="Control",K771,"")</f>
        <v/>
      </c>
      <c r="R771">
        <f t="shared" ref="R771:R834" si="25">IF(C771="Treatment",K771,"")</f>
        <v>0</v>
      </c>
    </row>
    <row r="772" spans="1:18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  <c r="Q772" t="str">
        <f t="shared" si="24"/>
        <v/>
      </c>
      <c r="R772">
        <f t="shared" si="25"/>
        <v>0</v>
      </c>
    </row>
    <row r="773" spans="1:18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  <c r="Q773" t="str">
        <f t="shared" si="24"/>
        <v/>
      </c>
      <c r="R773">
        <f t="shared" si="25"/>
        <v>0</v>
      </c>
    </row>
    <row r="774" spans="1:18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  <c r="Q774" t="str">
        <f t="shared" si="24"/>
        <v/>
      </c>
      <c r="R774">
        <f t="shared" si="25"/>
        <v>0</v>
      </c>
    </row>
    <row r="775" spans="1:18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  <c r="Q775" t="str">
        <f t="shared" si="24"/>
        <v/>
      </c>
      <c r="R775">
        <f t="shared" si="25"/>
        <v>0</v>
      </c>
    </row>
    <row r="776" spans="1:18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  <c r="Q776" t="str">
        <f t="shared" si="24"/>
        <v/>
      </c>
      <c r="R776">
        <f t="shared" si="25"/>
        <v>0</v>
      </c>
    </row>
    <row r="777" spans="1:18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  <c r="Q777" t="str">
        <f t="shared" si="24"/>
        <v/>
      </c>
      <c r="R777">
        <f t="shared" si="25"/>
        <v>0</v>
      </c>
    </row>
    <row r="778" spans="1:18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  <c r="Q778" t="str">
        <f t="shared" si="24"/>
        <v/>
      </c>
      <c r="R778">
        <f t="shared" si="25"/>
        <v>0</v>
      </c>
    </row>
    <row r="779" spans="1:18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  <c r="Q779" t="str">
        <f t="shared" si="24"/>
        <v/>
      </c>
      <c r="R779">
        <f t="shared" si="25"/>
        <v>0</v>
      </c>
    </row>
    <row r="780" spans="1:18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  <c r="Q780" t="str">
        <f t="shared" si="24"/>
        <v/>
      </c>
      <c r="R780">
        <f t="shared" si="25"/>
        <v>0</v>
      </c>
    </row>
    <row r="781" spans="1:18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  <c r="Q781" t="str">
        <f t="shared" si="24"/>
        <v/>
      </c>
      <c r="R781">
        <f t="shared" si="25"/>
        <v>0</v>
      </c>
    </row>
    <row r="782" spans="1:18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  <c r="Q782" t="str">
        <f t="shared" si="24"/>
        <v/>
      </c>
      <c r="R782">
        <f t="shared" si="25"/>
        <v>0</v>
      </c>
    </row>
    <row r="783" spans="1:18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  <c r="Q783" t="str">
        <f t="shared" si="24"/>
        <v/>
      </c>
      <c r="R783">
        <f t="shared" si="25"/>
        <v>0</v>
      </c>
    </row>
    <row r="784" spans="1:18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  <c r="Q784" t="str">
        <f t="shared" si="24"/>
        <v/>
      </c>
      <c r="R784">
        <f t="shared" si="25"/>
        <v>0</v>
      </c>
    </row>
    <row r="785" spans="1:18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  <c r="Q785" t="str">
        <f t="shared" si="24"/>
        <v/>
      </c>
      <c r="R785">
        <f t="shared" si="25"/>
        <v>0</v>
      </c>
    </row>
    <row r="786" spans="1:18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  <c r="Q786" t="str">
        <f t="shared" si="24"/>
        <v/>
      </c>
      <c r="R786">
        <f t="shared" si="25"/>
        <v>0</v>
      </c>
    </row>
    <row r="787" spans="1:18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  <c r="Q787" t="str">
        <f t="shared" si="24"/>
        <v/>
      </c>
      <c r="R787">
        <f t="shared" si="25"/>
        <v>0</v>
      </c>
    </row>
    <row r="788" spans="1:18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  <c r="Q788" t="str">
        <f t="shared" si="24"/>
        <v/>
      </c>
      <c r="R788">
        <f t="shared" si="25"/>
        <v>0</v>
      </c>
    </row>
    <row r="789" spans="1:18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  <c r="Q789" t="str">
        <f t="shared" si="24"/>
        <v/>
      </c>
      <c r="R789">
        <f t="shared" si="25"/>
        <v>0</v>
      </c>
    </row>
    <row r="790" spans="1:18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  <c r="Q790" t="str">
        <f t="shared" si="24"/>
        <v/>
      </c>
      <c r="R790">
        <f t="shared" si="25"/>
        <v>0</v>
      </c>
    </row>
    <row r="791" spans="1:18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  <c r="Q791" t="str">
        <f t="shared" si="24"/>
        <v/>
      </c>
      <c r="R791">
        <f t="shared" si="25"/>
        <v>0</v>
      </c>
    </row>
    <row r="792" spans="1:18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  <c r="Q792" t="str">
        <f t="shared" si="24"/>
        <v/>
      </c>
      <c r="R792">
        <f t="shared" si="25"/>
        <v>0</v>
      </c>
    </row>
    <row r="793" spans="1:18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  <c r="Q793" t="str">
        <f t="shared" si="24"/>
        <v/>
      </c>
      <c r="R793">
        <f t="shared" si="25"/>
        <v>0</v>
      </c>
    </row>
    <row r="794" spans="1:18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  <c r="Q794" t="str">
        <f t="shared" si="24"/>
        <v/>
      </c>
      <c r="R794">
        <f t="shared" si="25"/>
        <v>0</v>
      </c>
    </row>
    <row r="795" spans="1:18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  <c r="Q795" t="str">
        <f t="shared" si="24"/>
        <v/>
      </c>
      <c r="R795">
        <f t="shared" si="25"/>
        <v>0</v>
      </c>
    </row>
    <row r="796" spans="1:18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  <c r="Q796" t="str">
        <f t="shared" si="24"/>
        <v/>
      </c>
      <c r="R796">
        <f t="shared" si="25"/>
        <v>0</v>
      </c>
    </row>
    <row r="797" spans="1:18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  <c r="Q797" t="str">
        <f t="shared" si="24"/>
        <v/>
      </c>
      <c r="R797">
        <f t="shared" si="25"/>
        <v>0</v>
      </c>
    </row>
    <row r="798" spans="1:18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  <c r="Q798" t="str">
        <f t="shared" si="24"/>
        <v/>
      </c>
      <c r="R798">
        <f t="shared" si="25"/>
        <v>0</v>
      </c>
    </row>
    <row r="799" spans="1:18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  <c r="Q799" t="str">
        <f t="shared" si="24"/>
        <v/>
      </c>
      <c r="R799">
        <f t="shared" si="25"/>
        <v>0</v>
      </c>
    </row>
    <row r="800" spans="1:18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  <c r="Q800" t="str">
        <f t="shared" si="24"/>
        <v/>
      </c>
      <c r="R800">
        <f t="shared" si="25"/>
        <v>0</v>
      </c>
    </row>
    <row r="801" spans="1:18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  <c r="Q801" t="str">
        <f t="shared" si="24"/>
        <v/>
      </c>
      <c r="R801">
        <f t="shared" si="25"/>
        <v>0</v>
      </c>
    </row>
    <row r="802" spans="1:18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  <c r="Q802" t="str">
        <f t="shared" si="24"/>
        <v/>
      </c>
      <c r="R802">
        <f t="shared" si="25"/>
        <v>0</v>
      </c>
    </row>
    <row r="803" spans="1:18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  <c r="Q803" t="str">
        <f t="shared" si="24"/>
        <v/>
      </c>
      <c r="R803">
        <f t="shared" si="25"/>
        <v>0</v>
      </c>
    </row>
    <row r="804" spans="1:18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  <c r="Q804" t="str">
        <f t="shared" si="24"/>
        <v/>
      </c>
      <c r="R804">
        <f t="shared" si="25"/>
        <v>0</v>
      </c>
    </row>
    <row r="805" spans="1:18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  <c r="Q805" t="str">
        <f t="shared" si="24"/>
        <v/>
      </c>
      <c r="R805">
        <f t="shared" si="25"/>
        <v>0</v>
      </c>
    </row>
    <row r="806" spans="1:18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  <c r="Q806" t="str">
        <f t="shared" si="24"/>
        <v/>
      </c>
      <c r="R806">
        <f t="shared" si="25"/>
        <v>1</v>
      </c>
    </row>
    <row r="807" spans="1:18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  <c r="Q807" t="str">
        <f t="shared" si="24"/>
        <v/>
      </c>
      <c r="R807">
        <f t="shared" si="25"/>
        <v>0</v>
      </c>
    </row>
    <row r="808" spans="1:18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  <c r="Q808" t="str">
        <f t="shared" si="24"/>
        <v/>
      </c>
      <c r="R808">
        <f t="shared" si="25"/>
        <v>0</v>
      </c>
    </row>
    <row r="809" spans="1:18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  <c r="Q809" t="str">
        <f t="shared" si="24"/>
        <v/>
      </c>
      <c r="R809">
        <f t="shared" si="25"/>
        <v>0</v>
      </c>
    </row>
    <row r="810" spans="1:18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  <c r="Q810" t="str">
        <f t="shared" si="24"/>
        <v/>
      </c>
      <c r="R810">
        <f t="shared" si="25"/>
        <v>0</v>
      </c>
    </row>
    <row r="811" spans="1:18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  <c r="Q811" t="str">
        <f t="shared" si="24"/>
        <v/>
      </c>
      <c r="R811">
        <f t="shared" si="25"/>
        <v>0</v>
      </c>
    </row>
    <row r="812" spans="1:18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  <c r="Q812" t="str">
        <f t="shared" si="24"/>
        <v/>
      </c>
      <c r="R812">
        <f t="shared" si="25"/>
        <v>0</v>
      </c>
    </row>
    <row r="813" spans="1:18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  <c r="Q813" t="str">
        <f t="shared" si="24"/>
        <v/>
      </c>
      <c r="R813">
        <f t="shared" si="25"/>
        <v>0</v>
      </c>
    </row>
    <row r="814" spans="1:18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  <c r="Q814" t="str">
        <f t="shared" si="24"/>
        <v/>
      </c>
      <c r="R814">
        <f t="shared" si="25"/>
        <v>0</v>
      </c>
    </row>
    <row r="815" spans="1:18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  <c r="Q815" t="str">
        <f t="shared" si="24"/>
        <v/>
      </c>
      <c r="R815">
        <f t="shared" si="25"/>
        <v>1</v>
      </c>
    </row>
    <row r="816" spans="1:18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  <c r="Q816" t="str">
        <f t="shared" si="24"/>
        <v/>
      </c>
      <c r="R816">
        <f t="shared" si="25"/>
        <v>0</v>
      </c>
    </row>
    <row r="817" spans="1:18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  <c r="Q817" t="str">
        <f t="shared" si="24"/>
        <v/>
      </c>
      <c r="R817">
        <f t="shared" si="25"/>
        <v>0</v>
      </c>
    </row>
    <row r="818" spans="1:18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  <c r="Q818" t="str">
        <f t="shared" si="24"/>
        <v/>
      </c>
      <c r="R818">
        <f t="shared" si="25"/>
        <v>0</v>
      </c>
    </row>
    <row r="819" spans="1:18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  <c r="Q819" t="str">
        <f t="shared" si="24"/>
        <v/>
      </c>
      <c r="R819">
        <f t="shared" si="25"/>
        <v>0</v>
      </c>
    </row>
    <row r="820" spans="1:18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  <c r="Q820" t="str">
        <f t="shared" si="24"/>
        <v/>
      </c>
      <c r="R820">
        <f t="shared" si="25"/>
        <v>1</v>
      </c>
    </row>
    <row r="821" spans="1:18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  <c r="Q821" t="str">
        <f t="shared" si="24"/>
        <v/>
      </c>
      <c r="R821">
        <f t="shared" si="25"/>
        <v>0</v>
      </c>
    </row>
    <row r="822" spans="1:18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  <c r="Q822" t="str">
        <f t="shared" si="24"/>
        <v/>
      </c>
      <c r="R822">
        <f t="shared" si="25"/>
        <v>0</v>
      </c>
    </row>
    <row r="823" spans="1:18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  <c r="Q823" t="str">
        <f t="shared" si="24"/>
        <v/>
      </c>
      <c r="R823">
        <f t="shared" si="25"/>
        <v>0</v>
      </c>
    </row>
    <row r="824" spans="1:18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  <c r="Q824" t="str">
        <f t="shared" si="24"/>
        <v/>
      </c>
      <c r="R824">
        <f t="shared" si="25"/>
        <v>0</v>
      </c>
    </row>
    <row r="825" spans="1:18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  <c r="Q825" t="str">
        <f t="shared" si="24"/>
        <v/>
      </c>
      <c r="R825">
        <f t="shared" si="25"/>
        <v>0</v>
      </c>
    </row>
    <row r="826" spans="1:18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  <c r="Q826" t="str">
        <f t="shared" si="24"/>
        <v/>
      </c>
      <c r="R826">
        <f t="shared" si="25"/>
        <v>1</v>
      </c>
    </row>
    <row r="827" spans="1:18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  <c r="Q827" t="str">
        <f t="shared" si="24"/>
        <v/>
      </c>
      <c r="R827">
        <f t="shared" si="25"/>
        <v>0</v>
      </c>
    </row>
    <row r="828" spans="1:18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  <c r="Q828" t="str">
        <f t="shared" si="24"/>
        <v/>
      </c>
      <c r="R828">
        <f t="shared" si="25"/>
        <v>0</v>
      </c>
    </row>
    <row r="829" spans="1:18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  <c r="Q829" t="str">
        <f t="shared" si="24"/>
        <v/>
      </c>
      <c r="R829">
        <f t="shared" si="25"/>
        <v>0</v>
      </c>
    </row>
    <row r="830" spans="1:18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  <c r="Q830" t="str">
        <f t="shared" si="24"/>
        <v/>
      </c>
      <c r="R830">
        <f t="shared" si="25"/>
        <v>0</v>
      </c>
    </row>
    <row r="831" spans="1:18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  <c r="Q831" t="str">
        <f t="shared" si="24"/>
        <v/>
      </c>
      <c r="R831">
        <f t="shared" si="25"/>
        <v>1</v>
      </c>
    </row>
    <row r="832" spans="1:18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  <c r="Q832" t="str">
        <f t="shared" si="24"/>
        <v/>
      </c>
      <c r="R832">
        <f t="shared" si="25"/>
        <v>0</v>
      </c>
    </row>
    <row r="833" spans="1:18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  <c r="Q833" t="str">
        <f t="shared" si="24"/>
        <v/>
      </c>
      <c r="R833">
        <f t="shared" si="25"/>
        <v>0</v>
      </c>
    </row>
    <row r="834" spans="1:18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  <c r="Q834" t="str">
        <f t="shared" si="24"/>
        <v/>
      </c>
      <c r="R834">
        <f t="shared" si="25"/>
        <v>1</v>
      </c>
    </row>
    <row r="835" spans="1:18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  <c r="Q835" t="str">
        <f t="shared" ref="Q835:Q898" si="26">IF(C835="Control",K835,"")</f>
        <v/>
      </c>
      <c r="R835">
        <f t="shared" ref="R835:R898" si="27">IF(C835="Treatment",K835,"")</f>
        <v>0</v>
      </c>
    </row>
    <row r="836" spans="1:18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  <c r="Q836" t="str">
        <f t="shared" si="26"/>
        <v/>
      </c>
      <c r="R836">
        <f t="shared" si="27"/>
        <v>0</v>
      </c>
    </row>
    <row r="837" spans="1:18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  <c r="Q837" t="str">
        <f t="shared" si="26"/>
        <v/>
      </c>
      <c r="R837">
        <f t="shared" si="27"/>
        <v>1</v>
      </c>
    </row>
    <row r="838" spans="1:18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  <c r="Q838" t="str">
        <f t="shared" si="26"/>
        <v/>
      </c>
      <c r="R838">
        <f t="shared" si="27"/>
        <v>1</v>
      </c>
    </row>
    <row r="839" spans="1:18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  <c r="Q839" t="str">
        <f t="shared" si="26"/>
        <v/>
      </c>
      <c r="R839">
        <f t="shared" si="27"/>
        <v>0</v>
      </c>
    </row>
    <row r="840" spans="1:18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  <c r="Q840" t="str">
        <f t="shared" si="26"/>
        <v/>
      </c>
      <c r="R840">
        <f t="shared" si="27"/>
        <v>0</v>
      </c>
    </row>
    <row r="841" spans="1:18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  <c r="Q841" t="str">
        <f t="shared" si="26"/>
        <v/>
      </c>
      <c r="R841">
        <f t="shared" si="27"/>
        <v>0</v>
      </c>
    </row>
    <row r="842" spans="1:18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  <c r="Q842" t="str">
        <f t="shared" si="26"/>
        <v/>
      </c>
      <c r="R842">
        <f t="shared" si="27"/>
        <v>0</v>
      </c>
    </row>
    <row r="843" spans="1:18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  <c r="Q843" t="str">
        <f t="shared" si="26"/>
        <v/>
      </c>
      <c r="R843">
        <f t="shared" si="27"/>
        <v>0</v>
      </c>
    </row>
    <row r="844" spans="1:18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Q844" t="str">
        <f t="shared" si="26"/>
        <v/>
      </c>
      <c r="R844">
        <f t="shared" si="27"/>
        <v>0</v>
      </c>
    </row>
    <row r="845" spans="1:18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  <c r="Q845" t="str">
        <f t="shared" si="26"/>
        <v/>
      </c>
      <c r="R845">
        <f t="shared" si="27"/>
        <v>0</v>
      </c>
    </row>
    <row r="846" spans="1:18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  <c r="Q846" t="str">
        <f t="shared" si="26"/>
        <v/>
      </c>
      <c r="R846">
        <f t="shared" si="27"/>
        <v>0</v>
      </c>
    </row>
    <row r="847" spans="1:18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  <c r="Q847" t="str">
        <f t="shared" si="26"/>
        <v/>
      </c>
      <c r="R847">
        <f t="shared" si="27"/>
        <v>0</v>
      </c>
    </row>
    <row r="848" spans="1:18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  <c r="Q848" t="str">
        <f t="shared" si="26"/>
        <v/>
      </c>
      <c r="R848">
        <f t="shared" si="27"/>
        <v>0</v>
      </c>
    </row>
    <row r="849" spans="1:18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  <c r="Q849" t="str">
        <f t="shared" si="26"/>
        <v/>
      </c>
      <c r="R849">
        <f t="shared" si="27"/>
        <v>0</v>
      </c>
    </row>
    <row r="850" spans="1:18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  <c r="Q850" t="str">
        <f t="shared" si="26"/>
        <v/>
      </c>
      <c r="R850">
        <f t="shared" si="27"/>
        <v>0</v>
      </c>
    </row>
    <row r="851" spans="1:18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  <c r="Q851" t="str">
        <f t="shared" si="26"/>
        <v/>
      </c>
      <c r="R851">
        <f t="shared" si="27"/>
        <v>0</v>
      </c>
    </row>
    <row r="852" spans="1:18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  <c r="Q852" t="str">
        <f t="shared" si="26"/>
        <v/>
      </c>
      <c r="R852">
        <f t="shared" si="27"/>
        <v>0</v>
      </c>
    </row>
    <row r="853" spans="1:18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  <c r="Q853" t="str">
        <f t="shared" si="26"/>
        <v/>
      </c>
      <c r="R853">
        <f t="shared" si="27"/>
        <v>0</v>
      </c>
    </row>
    <row r="854" spans="1:18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  <c r="Q854" t="str">
        <f t="shared" si="26"/>
        <v/>
      </c>
      <c r="R854">
        <f t="shared" si="27"/>
        <v>0</v>
      </c>
    </row>
    <row r="855" spans="1:18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  <c r="Q855" t="str">
        <f t="shared" si="26"/>
        <v/>
      </c>
      <c r="R855">
        <f t="shared" si="27"/>
        <v>0</v>
      </c>
    </row>
    <row r="856" spans="1:18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  <c r="Q856" t="str">
        <f t="shared" si="26"/>
        <v/>
      </c>
      <c r="R856">
        <f t="shared" si="27"/>
        <v>1</v>
      </c>
    </row>
    <row r="857" spans="1:18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  <c r="Q857" t="str">
        <f t="shared" si="26"/>
        <v/>
      </c>
      <c r="R857">
        <f t="shared" si="27"/>
        <v>0</v>
      </c>
    </row>
    <row r="858" spans="1:18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  <c r="Q858" t="str">
        <f t="shared" si="26"/>
        <v/>
      </c>
      <c r="R858">
        <f t="shared" si="27"/>
        <v>0</v>
      </c>
    </row>
    <row r="859" spans="1:18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  <c r="Q859" t="str">
        <f t="shared" si="26"/>
        <v/>
      </c>
      <c r="R859">
        <f t="shared" si="27"/>
        <v>0</v>
      </c>
    </row>
    <row r="860" spans="1:18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  <c r="Q860" t="str">
        <f t="shared" si="26"/>
        <v/>
      </c>
      <c r="R860">
        <f t="shared" si="27"/>
        <v>1</v>
      </c>
    </row>
    <row r="861" spans="1:18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  <c r="Q861" t="str">
        <f t="shared" si="26"/>
        <v/>
      </c>
      <c r="R861">
        <f t="shared" si="27"/>
        <v>0</v>
      </c>
    </row>
    <row r="862" spans="1:18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  <c r="Q862" t="str">
        <f t="shared" si="26"/>
        <v/>
      </c>
      <c r="R862">
        <f t="shared" si="27"/>
        <v>0</v>
      </c>
    </row>
    <row r="863" spans="1:18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  <c r="Q863" t="str">
        <f t="shared" si="26"/>
        <v/>
      </c>
      <c r="R863">
        <f t="shared" si="27"/>
        <v>0</v>
      </c>
    </row>
    <row r="864" spans="1:18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  <c r="Q864" t="str">
        <f t="shared" si="26"/>
        <v/>
      </c>
      <c r="R864">
        <f t="shared" si="27"/>
        <v>0</v>
      </c>
    </row>
    <row r="865" spans="1:18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  <c r="Q865" t="str">
        <f t="shared" si="26"/>
        <v/>
      </c>
      <c r="R865">
        <f t="shared" si="27"/>
        <v>0</v>
      </c>
    </row>
    <row r="866" spans="1:18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  <c r="Q866" t="str">
        <f t="shared" si="26"/>
        <v/>
      </c>
      <c r="R866">
        <f t="shared" si="27"/>
        <v>0</v>
      </c>
    </row>
    <row r="867" spans="1:18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  <c r="Q867" t="str">
        <f t="shared" si="26"/>
        <v/>
      </c>
      <c r="R867">
        <f t="shared" si="27"/>
        <v>0</v>
      </c>
    </row>
    <row r="868" spans="1:18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  <c r="Q868" t="str">
        <f t="shared" si="26"/>
        <v/>
      </c>
      <c r="R868">
        <f t="shared" si="27"/>
        <v>0</v>
      </c>
    </row>
    <row r="869" spans="1:18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  <c r="Q869" t="str">
        <f t="shared" si="26"/>
        <v/>
      </c>
      <c r="R869">
        <f t="shared" si="27"/>
        <v>0</v>
      </c>
    </row>
    <row r="870" spans="1:18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  <c r="Q870" t="str">
        <f t="shared" si="26"/>
        <v/>
      </c>
      <c r="R870">
        <f t="shared" si="27"/>
        <v>0</v>
      </c>
    </row>
    <row r="871" spans="1:18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  <c r="Q871" t="str">
        <f t="shared" si="26"/>
        <v/>
      </c>
      <c r="R871">
        <f t="shared" si="27"/>
        <v>0</v>
      </c>
    </row>
    <row r="872" spans="1:18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  <c r="Q872" t="str">
        <f t="shared" si="26"/>
        <v/>
      </c>
      <c r="R872">
        <f t="shared" si="27"/>
        <v>0</v>
      </c>
    </row>
    <row r="873" spans="1:18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  <c r="Q873" t="str">
        <f t="shared" si="26"/>
        <v/>
      </c>
      <c r="R873">
        <f t="shared" si="27"/>
        <v>0</v>
      </c>
    </row>
    <row r="874" spans="1:18">
      <c r="A874" t="s">
        <v>905</v>
      </c>
      <c r="B874" s="2">
        <v>45769</v>
      </c>
      <c r="C874" t="s">
        <v>723</v>
      </c>
      <c r="D874" t="s">
        <v>23</v>
      </c>
      <c r="E874" t="s">
        <v>1433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  <c r="Q874" t="str">
        <f t="shared" si="26"/>
        <v/>
      </c>
      <c r="R874">
        <f t="shared" si="27"/>
        <v>0</v>
      </c>
    </row>
    <row r="875" spans="1:18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  <c r="Q875" t="str">
        <f t="shared" si="26"/>
        <v/>
      </c>
      <c r="R875">
        <f t="shared" si="27"/>
        <v>0</v>
      </c>
    </row>
    <row r="876" spans="1:18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  <c r="Q876" t="str">
        <f t="shared" si="26"/>
        <v/>
      </c>
      <c r="R876">
        <f t="shared" si="27"/>
        <v>0</v>
      </c>
    </row>
    <row r="877" spans="1:18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  <c r="Q877" t="str">
        <f t="shared" si="26"/>
        <v/>
      </c>
      <c r="R877">
        <f t="shared" si="27"/>
        <v>0</v>
      </c>
    </row>
    <row r="878" spans="1:18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  <c r="Q878" t="str">
        <f t="shared" si="26"/>
        <v/>
      </c>
      <c r="R878">
        <f t="shared" si="27"/>
        <v>0</v>
      </c>
    </row>
    <row r="879" spans="1:18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  <c r="Q879" t="str">
        <f t="shared" si="26"/>
        <v/>
      </c>
      <c r="R879">
        <f t="shared" si="27"/>
        <v>0</v>
      </c>
    </row>
    <row r="880" spans="1:18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  <c r="Q880" t="str">
        <f t="shared" si="26"/>
        <v/>
      </c>
      <c r="R880">
        <f t="shared" si="27"/>
        <v>0</v>
      </c>
    </row>
    <row r="881" spans="1:18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  <c r="Q881" t="str">
        <f t="shared" si="26"/>
        <v/>
      </c>
      <c r="R881">
        <f t="shared" si="27"/>
        <v>0</v>
      </c>
    </row>
    <row r="882" spans="1:18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  <c r="Q882" t="str">
        <f t="shared" si="26"/>
        <v/>
      </c>
      <c r="R882">
        <f t="shared" si="27"/>
        <v>0</v>
      </c>
    </row>
    <row r="883" spans="1:18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  <c r="Q883" t="str">
        <f t="shared" si="26"/>
        <v/>
      </c>
      <c r="R883">
        <f t="shared" si="27"/>
        <v>0</v>
      </c>
    </row>
    <row r="884" spans="1:18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  <c r="Q884" t="str">
        <f t="shared" si="26"/>
        <v/>
      </c>
      <c r="R884">
        <f t="shared" si="27"/>
        <v>0</v>
      </c>
    </row>
    <row r="885" spans="1:18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  <c r="Q885" t="str">
        <f t="shared" si="26"/>
        <v/>
      </c>
      <c r="R885">
        <f t="shared" si="27"/>
        <v>0</v>
      </c>
    </row>
    <row r="886" spans="1:18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  <c r="Q886" t="str">
        <f t="shared" si="26"/>
        <v/>
      </c>
      <c r="R886">
        <f t="shared" si="27"/>
        <v>0</v>
      </c>
    </row>
    <row r="887" spans="1:18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  <c r="Q887" t="str">
        <f t="shared" si="26"/>
        <v/>
      </c>
      <c r="R887">
        <f t="shared" si="27"/>
        <v>0</v>
      </c>
    </row>
    <row r="888" spans="1:18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  <c r="Q888" t="str">
        <f t="shared" si="26"/>
        <v/>
      </c>
      <c r="R888">
        <f t="shared" si="27"/>
        <v>0</v>
      </c>
    </row>
    <row r="889" spans="1:18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  <c r="Q889" t="str">
        <f t="shared" si="26"/>
        <v/>
      </c>
      <c r="R889">
        <f t="shared" si="27"/>
        <v>0</v>
      </c>
    </row>
    <row r="890" spans="1:18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  <c r="Q890" t="str">
        <f t="shared" si="26"/>
        <v/>
      </c>
      <c r="R890">
        <f t="shared" si="27"/>
        <v>1</v>
      </c>
    </row>
    <row r="891" spans="1:18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  <c r="Q891" t="str">
        <f t="shared" si="26"/>
        <v/>
      </c>
      <c r="R891">
        <f t="shared" si="27"/>
        <v>0</v>
      </c>
    </row>
    <row r="892" spans="1:18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  <c r="Q892" t="str">
        <f t="shared" si="26"/>
        <v/>
      </c>
      <c r="R892">
        <f t="shared" si="27"/>
        <v>0</v>
      </c>
    </row>
    <row r="893" spans="1:18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  <c r="Q893" t="str">
        <f t="shared" si="26"/>
        <v/>
      </c>
      <c r="R893">
        <f t="shared" si="27"/>
        <v>0</v>
      </c>
    </row>
    <row r="894" spans="1:18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  <c r="Q894" t="str">
        <f t="shared" si="26"/>
        <v/>
      </c>
      <c r="R894">
        <f t="shared" si="27"/>
        <v>0</v>
      </c>
    </row>
    <row r="895" spans="1:18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  <c r="Q895" t="str">
        <f t="shared" si="26"/>
        <v/>
      </c>
      <c r="R895">
        <f t="shared" si="27"/>
        <v>0</v>
      </c>
    </row>
    <row r="896" spans="1:18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  <c r="Q896" t="str">
        <f t="shared" si="26"/>
        <v/>
      </c>
      <c r="R896">
        <f t="shared" si="27"/>
        <v>0</v>
      </c>
    </row>
    <row r="897" spans="1:18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  <c r="Q897" t="str">
        <f t="shared" si="26"/>
        <v/>
      </c>
      <c r="R897">
        <f t="shared" si="27"/>
        <v>0</v>
      </c>
    </row>
    <row r="898" spans="1:18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  <c r="Q898" t="str">
        <f t="shared" si="26"/>
        <v/>
      </c>
      <c r="R898">
        <f t="shared" si="27"/>
        <v>0</v>
      </c>
    </row>
    <row r="899" spans="1:18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F899" t="s">
        <v>1433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  <c r="Q899" t="str">
        <f t="shared" ref="Q899:Q962" si="28">IF(C899="Control",K899,"")</f>
        <v/>
      </c>
      <c r="R899">
        <f t="shared" ref="R899:R962" si="29">IF(C899="Treatment",K899,"")</f>
        <v>0</v>
      </c>
    </row>
    <row r="900" spans="1:18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  <c r="Q900" t="str">
        <f t="shared" si="28"/>
        <v/>
      </c>
      <c r="R900">
        <f t="shared" si="29"/>
        <v>0</v>
      </c>
    </row>
    <row r="901" spans="1:18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  <c r="Q901" t="str">
        <f t="shared" si="28"/>
        <v/>
      </c>
      <c r="R901">
        <f t="shared" si="29"/>
        <v>0</v>
      </c>
    </row>
    <row r="902" spans="1:18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  <c r="Q902" t="str">
        <f t="shared" si="28"/>
        <v/>
      </c>
      <c r="R902">
        <f t="shared" si="29"/>
        <v>0</v>
      </c>
    </row>
    <row r="903" spans="1:18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  <c r="Q903" t="str">
        <f t="shared" si="28"/>
        <v/>
      </c>
      <c r="R903">
        <f t="shared" si="29"/>
        <v>0</v>
      </c>
    </row>
    <row r="904" spans="1:18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  <c r="Q904" t="str">
        <f t="shared" si="28"/>
        <v/>
      </c>
      <c r="R904">
        <f t="shared" si="29"/>
        <v>0</v>
      </c>
    </row>
    <row r="905" spans="1:18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  <c r="Q905" t="str">
        <f t="shared" si="28"/>
        <v/>
      </c>
      <c r="R905">
        <f t="shared" si="29"/>
        <v>0</v>
      </c>
    </row>
    <row r="906" spans="1:18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  <c r="Q906" t="str">
        <f t="shared" si="28"/>
        <v/>
      </c>
      <c r="R906">
        <f t="shared" si="29"/>
        <v>1</v>
      </c>
    </row>
    <row r="907" spans="1:18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  <c r="Q907" t="str">
        <f t="shared" si="28"/>
        <v/>
      </c>
      <c r="R907">
        <f t="shared" si="29"/>
        <v>0</v>
      </c>
    </row>
    <row r="908" spans="1:18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  <c r="Q908" t="str">
        <f t="shared" si="28"/>
        <v/>
      </c>
      <c r="R908">
        <f t="shared" si="29"/>
        <v>0</v>
      </c>
    </row>
    <row r="909" spans="1:18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  <c r="Q909" t="str">
        <f t="shared" si="28"/>
        <v/>
      </c>
      <c r="R909">
        <f t="shared" si="29"/>
        <v>0</v>
      </c>
    </row>
    <row r="910" spans="1:18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  <c r="Q910" t="str">
        <f t="shared" si="28"/>
        <v/>
      </c>
      <c r="R910">
        <f t="shared" si="29"/>
        <v>0</v>
      </c>
    </row>
    <row r="911" spans="1:18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  <c r="Q911" t="str">
        <f t="shared" si="28"/>
        <v/>
      </c>
      <c r="R911">
        <f t="shared" si="29"/>
        <v>0</v>
      </c>
    </row>
    <row r="912" spans="1:18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  <c r="Q912" t="str">
        <f t="shared" si="28"/>
        <v/>
      </c>
      <c r="R912">
        <f t="shared" si="29"/>
        <v>0</v>
      </c>
    </row>
    <row r="913" spans="1:18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  <c r="Q913" t="str">
        <f t="shared" si="28"/>
        <v/>
      </c>
      <c r="R913">
        <f t="shared" si="29"/>
        <v>0</v>
      </c>
    </row>
    <row r="914" spans="1:18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  <c r="Q914" t="str">
        <f t="shared" si="28"/>
        <v/>
      </c>
      <c r="R914">
        <f t="shared" si="29"/>
        <v>0</v>
      </c>
    </row>
    <row r="915" spans="1:18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  <c r="Q915" t="str">
        <f t="shared" si="28"/>
        <v/>
      </c>
      <c r="R915">
        <f t="shared" si="29"/>
        <v>0</v>
      </c>
    </row>
    <row r="916" spans="1:18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  <c r="Q916" t="str">
        <f t="shared" si="28"/>
        <v/>
      </c>
      <c r="R916">
        <f t="shared" si="29"/>
        <v>0</v>
      </c>
    </row>
    <row r="917" spans="1:18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  <c r="Q917" t="str">
        <f t="shared" si="28"/>
        <v/>
      </c>
      <c r="R917">
        <f t="shared" si="29"/>
        <v>0</v>
      </c>
    </row>
    <row r="918" spans="1:18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  <c r="Q918" t="str">
        <f t="shared" si="28"/>
        <v/>
      </c>
      <c r="R918">
        <f t="shared" si="29"/>
        <v>0</v>
      </c>
    </row>
    <row r="919" spans="1:18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  <c r="Q919" t="str">
        <f t="shared" si="28"/>
        <v/>
      </c>
      <c r="R919">
        <f t="shared" si="29"/>
        <v>0</v>
      </c>
    </row>
    <row r="920" spans="1:18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  <c r="Q920" t="str">
        <f t="shared" si="28"/>
        <v/>
      </c>
      <c r="R920">
        <f t="shared" si="29"/>
        <v>0</v>
      </c>
    </row>
    <row r="921" spans="1:18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  <c r="Q921" t="str">
        <f t="shared" si="28"/>
        <v/>
      </c>
      <c r="R921">
        <f t="shared" si="29"/>
        <v>0</v>
      </c>
    </row>
    <row r="922" spans="1:18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  <c r="Q922" t="str">
        <f t="shared" si="28"/>
        <v/>
      </c>
      <c r="R922">
        <f t="shared" si="29"/>
        <v>1</v>
      </c>
    </row>
    <row r="923" spans="1:18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  <c r="Q923" t="str">
        <f t="shared" si="28"/>
        <v/>
      </c>
      <c r="R923">
        <f t="shared" si="29"/>
        <v>0</v>
      </c>
    </row>
    <row r="924" spans="1:18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  <c r="Q924" t="str">
        <f t="shared" si="28"/>
        <v/>
      </c>
      <c r="R924">
        <f t="shared" si="29"/>
        <v>0</v>
      </c>
    </row>
    <row r="925" spans="1:18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  <c r="Q925" t="str">
        <f t="shared" si="28"/>
        <v/>
      </c>
      <c r="R925">
        <f t="shared" si="29"/>
        <v>0</v>
      </c>
    </row>
    <row r="926" spans="1:18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  <c r="Q926" t="str">
        <f t="shared" si="28"/>
        <v/>
      </c>
      <c r="R926">
        <f t="shared" si="29"/>
        <v>0</v>
      </c>
    </row>
    <row r="927" spans="1:18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  <c r="Q927" t="str">
        <f t="shared" si="28"/>
        <v/>
      </c>
      <c r="R927">
        <f t="shared" si="29"/>
        <v>0</v>
      </c>
    </row>
    <row r="928" spans="1:18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  <c r="Q928" t="str">
        <f t="shared" si="28"/>
        <v/>
      </c>
      <c r="R928">
        <f t="shared" si="29"/>
        <v>0</v>
      </c>
    </row>
    <row r="929" spans="1:18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  <c r="Q929" t="str">
        <f t="shared" si="28"/>
        <v/>
      </c>
      <c r="R929">
        <f t="shared" si="29"/>
        <v>0</v>
      </c>
    </row>
    <row r="930" spans="1:18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  <c r="Q930" t="str">
        <f t="shared" si="28"/>
        <v/>
      </c>
      <c r="R930">
        <f t="shared" si="29"/>
        <v>0</v>
      </c>
    </row>
    <row r="931" spans="1:18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  <c r="Q931" t="str">
        <f t="shared" si="28"/>
        <v/>
      </c>
      <c r="R931">
        <f t="shared" si="29"/>
        <v>0</v>
      </c>
    </row>
    <row r="932" spans="1:18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  <c r="Q932" t="str">
        <f t="shared" si="28"/>
        <v/>
      </c>
      <c r="R932">
        <f t="shared" si="29"/>
        <v>1</v>
      </c>
    </row>
    <row r="933" spans="1:18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  <c r="Q933" t="str">
        <f t="shared" si="28"/>
        <v/>
      </c>
      <c r="R933">
        <f t="shared" si="29"/>
        <v>0</v>
      </c>
    </row>
    <row r="934" spans="1:18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  <c r="Q934" t="str">
        <f t="shared" si="28"/>
        <v/>
      </c>
      <c r="R934">
        <f t="shared" si="29"/>
        <v>0</v>
      </c>
    </row>
    <row r="935" spans="1:18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  <c r="Q935" t="str">
        <f t="shared" si="28"/>
        <v/>
      </c>
      <c r="R935">
        <f t="shared" si="29"/>
        <v>0</v>
      </c>
    </row>
    <row r="936" spans="1:18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  <c r="Q936" t="str">
        <f t="shared" si="28"/>
        <v/>
      </c>
      <c r="R936">
        <f t="shared" si="29"/>
        <v>0</v>
      </c>
    </row>
    <row r="937" spans="1:18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  <c r="Q937" t="str">
        <f t="shared" si="28"/>
        <v/>
      </c>
      <c r="R937">
        <f t="shared" si="29"/>
        <v>0</v>
      </c>
    </row>
    <row r="938" spans="1:18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F938" t="s">
        <v>1433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  <c r="Q938" t="str">
        <f t="shared" si="28"/>
        <v/>
      </c>
      <c r="R938">
        <f t="shared" si="29"/>
        <v>0</v>
      </c>
    </row>
    <row r="939" spans="1:18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  <c r="Q939" t="str">
        <f t="shared" si="28"/>
        <v/>
      </c>
      <c r="R939">
        <f t="shared" si="29"/>
        <v>0</v>
      </c>
    </row>
    <row r="940" spans="1:18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  <c r="Q940" t="str">
        <f t="shared" si="28"/>
        <v/>
      </c>
      <c r="R940">
        <f t="shared" si="29"/>
        <v>0</v>
      </c>
    </row>
    <row r="941" spans="1:18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  <c r="Q941" t="str">
        <f t="shared" si="28"/>
        <v/>
      </c>
      <c r="R941">
        <f t="shared" si="29"/>
        <v>0</v>
      </c>
    </row>
    <row r="942" spans="1:18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  <c r="Q942" t="str">
        <f t="shared" si="28"/>
        <v/>
      </c>
      <c r="R942">
        <f t="shared" si="29"/>
        <v>0</v>
      </c>
    </row>
    <row r="943" spans="1:18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  <c r="Q943" t="str">
        <f t="shared" si="28"/>
        <v/>
      </c>
      <c r="R943">
        <f t="shared" si="29"/>
        <v>0</v>
      </c>
    </row>
    <row r="944" spans="1:18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  <c r="Q944" t="str">
        <f t="shared" si="28"/>
        <v/>
      </c>
      <c r="R944">
        <f t="shared" si="29"/>
        <v>1</v>
      </c>
    </row>
    <row r="945" spans="1:18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  <c r="Q945" t="str">
        <f t="shared" si="28"/>
        <v/>
      </c>
      <c r="R945">
        <f t="shared" si="29"/>
        <v>0</v>
      </c>
    </row>
    <row r="946" spans="1:18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  <c r="Q946" t="str">
        <f t="shared" si="28"/>
        <v/>
      </c>
      <c r="R946">
        <f t="shared" si="29"/>
        <v>0</v>
      </c>
    </row>
    <row r="947" spans="1:18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  <c r="Q947" t="str">
        <f t="shared" si="28"/>
        <v/>
      </c>
      <c r="R947">
        <f t="shared" si="29"/>
        <v>0</v>
      </c>
    </row>
    <row r="948" spans="1:18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  <c r="Q948" t="str">
        <f t="shared" si="28"/>
        <v/>
      </c>
      <c r="R948">
        <f t="shared" si="29"/>
        <v>0</v>
      </c>
    </row>
    <row r="949" spans="1:18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  <c r="Q949" t="str">
        <f t="shared" si="28"/>
        <v/>
      </c>
      <c r="R949">
        <f t="shared" si="29"/>
        <v>1</v>
      </c>
    </row>
    <row r="950" spans="1:18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  <c r="Q950" t="str">
        <f t="shared" si="28"/>
        <v/>
      </c>
      <c r="R950">
        <f t="shared" si="29"/>
        <v>0</v>
      </c>
    </row>
    <row r="951" spans="1:18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  <c r="Q951" t="str">
        <f t="shared" si="28"/>
        <v/>
      </c>
      <c r="R951">
        <f t="shared" si="29"/>
        <v>0</v>
      </c>
    </row>
    <row r="952" spans="1:18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  <c r="Q952" t="str">
        <f t="shared" si="28"/>
        <v/>
      </c>
      <c r="R952">
        <f t="shared" si="29"/>
        <v>0</v>
      </c>
    </row>
    <row r="953" spans="1:18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F953" t="s">
        <v>1433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  <c r="Q953" t="str">
        <f t="shared" si="28"/>
        <v/>
      </c>
      <c r="R953">
        <f t="shared" si="29"/>
        <v>0</v>
      </c>
    </row>
    <row r="954" spans="1:18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  <c r="Q954" t="str">
        <f t="shared" si="28"/>
        <v/>
      </c>
      <c r="R954">
        <f t="shared" si="29"/>
        <v>0</v>
      </c>
    </row>
    <row r="955" spans="1:18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  <c r="Q955" t="str">
        <f t="shared" si="28"/>
        <v/>
      </c>
      <c r="R955">
        <f t="shared" si="29"/>
        <v>0</v>
      </c>
    </row>
    <row r="956" spans="1:18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  <c r="Q956" t="str">
        <f t="shared" si="28"/>
        <v/>
      </c>
      <c r="R956">
        <f t="shared" si="29"/>
        <v>0</v>
      </c>
    </row>
    <row r="957" spans="1:18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  <c r="Q957" t="str">
        <f t="shared" si="28"/>
        <v/>
      </c>
      <c r="R957">
        <f t="shared" si="29"/>
        <v>0</v>
      </c>
    </row>
    <row r="958" spans="1:18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  <c r="Q958" t="str">
        <f t="shared" si="28"/>
        <v/>
      </c>
      <c r="R958">
        <f t="shared" si="29"/>
        <v>0</v>
      </c>
    </row>
    <row r="959" spans="1:18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  <c r="Q959" t="str">
        <f t="shared" si="28"/>
        <v/>
      </c>
      <c r="R959">
        <f t="shared" si="29"/>
        <v>0</v>
      </c>
    </row>
    <row r="960" spans="1:18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  <c r="Q960" t="str">
        <f t="shared" si="28"/>
        <v/>
      </c>
      <c r="R960">
        <f t="shared" si="29"/>
        <v>0</v>
      </c>
    </row>
    <row r="961" spans="1:18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  <c r="Q961" t="str">
        <f t="shared" si="28"/>
        <v/>
      </c>
      <c r="R961">
        <f t="shared" si="29"/>
        <v>0</v>
      </c>
    </row>
    <row r="962" spans="1:18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  <c r="Q962" t="str">
        <f t="shared" si="28"/>
        <v/>
      </c>
      <c r="R962">
        <f t="shared" si="29"/>
        <v>0</v>
      </c>
    </row>
    <row r="963" spans="1:18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  <c r="Q963" t="str">
        <f t="shared" ref="Q963:Q1026" si="30">IF(C963="Control",K963,"")</f>
        <v/>
      </c>
      <c r="R963">
        <f t="shared" ref="R963:R1026" si="31">IF(C963="Treatment",K963,"")</f>
        <v>0</v>
      </c>
    </row>
    <row r="964" spans="1:18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  <c r="Q964" t="str">
        <f t="shared" si="30"/>
        <v/>
      </c>
      <c r="R964">
        <f t="shared" si="31"/>
        <v>0</v>
      </c>
    </row>
    <row r="965" spans="1:18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  <c r="Q965" t="str">
        <f t="shared" si="30"/>
        <v/>
      </c>
      <c r="R965">
        <f t="shared" si="31"/>
        <v>0</v>
      </c>
    </row>
    <row r="966" spans="1:18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  <c r="Q966" t="str">
        <f t="shared" si="30"/>
        <v/>
      </c>
      <c r="R966">
        <f t="shared" si="31"/>
        <v>0</v>
      </c>
    </row>
    <row r="967" spans="1:18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  <c r="Q967" t="str">
        <f t="shared" si="30"/>
        <v/>
      </c>
      <c r="R967">
        <f t="shared" si="31"/>
        <v>0</v>
      </c>
    </row>
    <row r="968" spans="1:18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F968" t="s">
        <v>1433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  <c r="Q968" t="str">
        <f t="shared" si="30"/>
        <v/>
      </c>
      <c r="R968">
        <f t="shared" si="31"/>
        <v>0</v>
      </c>
    </row>
    <row r="969" spans="1:18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  <c r="Q969" t="str">
        <f t="shared" si="30"/>
        <v/>
      </c>
      <c r="R969">
        <f t="shared" si="31"/>
        <v>0</v>
      </c>
    </row>
    <row r="970" spans="1:18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  <c r="Q970" t="str">
        <f t="shared" si="30"/>
        <v/>
      </c>
      <c r="R970">
        <f t="shared" si="31"/>
        <v>0</v>
      </c>
    </row>
    <row r="971" spans="1:18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  <c r="Q971" t="str">
        <f t="shared" si="30"/>
        <v/>
      </c>
      <c r="R971">
        <f t="shared" si="31"/>
        <v>0</v>
      </c>
    </row>
    <row r="972" spans="1:18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  <c r="Q972" t="str">
        <f t="shared" si="30"/>
        <v/>
      </c>
      <c r="R972">
        <f t="shared" si="31"/>
        <v>0</v>
      </c>
    </row>
    <row r="973" spans="1:18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  <c r="Q973" t="str">
        <f t="shared" si="30"/>
        <v/>
      </c>
      <c r="R973">
        <f t="shared" si="31"/>
        <v>0</v>
      </c>
    </row>
    <row r="974" spans="1:18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  <c r="Q974" t="str">
        <f t="shared" si="30"/>
        <v/>
      </c>
      <c r="R974">
        <f t="shared" si="31"/>
        <v>0</v>
      </c>
    </row>
    <row r="975" spans="1:18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  <c r="Q975" t="str">
        <f t="shared" si="30"/>
        <v/>
      </c>
      <c r="R975">
        <f t="shared" si="31"/>
        <v>0</v>
      </c>
    </row>
    <row r="976" spans="1:18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  <c r="Q976" t="str">
        <f t="shared" si="30"/>
        <v/>
      </c>
      <c r="R976">
        <f t="shared" si="31"/>
        <v>0</v>
      </c>
    </row>
    <row r="977" spans="1:18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  <c r="Q977" t="str">
        <f t="shared" si="30"/>
        <v/>
      </c>
      <c r="R977">
        <f t="shared" si="31"/>
        <v>0</v>
      </c>
    </row>
    <row r="978" spans="1:18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  <c r="Q978" t="str">
        <f t="shared" si="30"/>
        <v/>
      </c>
      <c r="R978">
        <f t="shared" si="31"/>
        <v>0</v>
      </c>
    </row>
    <row r="979" spans="1:18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  <c r="Q979" t="str">
        <f t="shared" si="30"/>
        <v/>
      </c>
      <c r="R979">
        <f t="shared" si="31"/>
        <v>0</v>
      </c>
    </row>
    <row r="980" spans="1:18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  <c r="Q980" t="str">
        <f t="shared" si="30"/>
        <v/>
      </c>
      <c r="R980">
        <f t="shared" si="31"/>
        <v>0</v>
      </c>
    </row>
    <row r="981" spans="1:18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  <c r="Q981" t="str">
        <f t="shared" si="30"/>
        <v/>
      </c>
      <c r="R981">
        <f t="shared" si="31"/>
        <v>0</v>
      </c>
    </row>
    <row r="982" spans="1:18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  <c r="Q982" t="str">
        <f t="shared" si="30"/>
        <v/>
      </c>
      <c r="R982">
        <f t="shared" si="31"/>
        <v>0</v>
      </c>
    </row>
    <row r="983" spans="1:18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  <c r="Q983" t="str">
        <f t="shared" si="30"/>
        <v/>
      </c>
      <c r="R983">
        <f t="shared" si="31"/>
        <v>0</v>
      </c>
    </row>
    <row r="984" spans="1:18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  <c r="Q984" t="str">
        <f t="shared" si="30"/>
        <v/>
      </c>
      <c r="R984">
        <f t="shared" si="31"/>
        <v>0</v>
      </c>
    </row>
    <row r="985" spans="1:18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  <c r="Q985" t="str">
        <f t="shared" si="30"/>
        <v/>
      </c>
      <c r="R985">
        <f t="shared" si="31"/>
        <v>0</v>
      </c>
    </row>
    <row r="986" spans="1:18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  <c r="Q986" t="str">
        <f t="shared" si="30"/>
        <v/>
      </c>
      <c r="R986">
        <f t="shared" si="31"/>
        <v>0</v>
      </c>
    </row>
    <row r="987" spans="1:18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  <c r="Q987" t="str">
        <f t="shared" si="30"/>
        <v/>
      </c>
      <c r="R987">
        <f t="shared" si="31"/>
        <v>0</v>
      </c>
    </row>
    <row r="988" spans="1:18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  <c r="Q988" t="str">
        <f t="shared" si="30"/>
        <v/>
      </c>
      <c r="R988">
        <f t="shared" si="31"/>
        <v>0</v>
      </c>
    </row>
    <row r="989" spans="1:18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  <c r="Q989" t="str">
        <f t="shared" si="30"/>
        <v/>
      </c>
      <c r="R989">
        <f t="shared" si="31"/>
        <v>0</v>
      </c>
    </row>
    <row r="990" spans="1:18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  <c r="Q990" t="str">
        <f t="shared" si="30"/>
        <v/>
      </c>
      <c r="R990">
        <f t="shared" si="31"/>
        <v>0</v>
      </c>
    </row>
    <row r="991" spans="1:18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  <c r="Q991" t="str">
        <f t="shared" si="30"/>
        <v/>
      </c>
      <c r="R991">
        <f t="shared" si="31"/>
        <v>0</v>
      </c>
    </row>
    <row r="992" spans="1:18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  <c r="Q992" t="str">
        <f t="shared" si="30"/>
        <v/>
      </c>
      <c r="R992">
        <f t="shared" si="31"/>
        <v>0</v>
      </c>
    </row>
    <row r="993" spans="1:18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  <c r="Q993" t="str">
        <f t="shared" si="30"/>
        <v/>
      </c>
      <c r="R993">
        <f t="shared" si="31"/>
        <v>0</v>
      </c>
    </row>
    <row r="994" spans="1:18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  <c r="Q994" t="str">
        <f t="shared" si="30"/>
        <v/>
      </c>
      <c r="R994">
        <f t="shared" si="31"/>
        <v>1</v>
      </c>
    </row>
    <row r="995" spans="1:18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  <c r="Q995" t="str">
        <f t="shared" si="30"/>
        <v/>
      </c>
      <c r="R995">
        <f t="shared" si="31"/>
        <v>0</v>
      </c>
    </row>
    <row r="996" spans="1:18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  <c r="Q996" t="str">
        <f t="shared" si="30"/>
        <v/>
      </c>
      <c r="R996">
        <f t="shared" si="31"/>
        <v>0</v>
      </c>
    </row>
    <row r="997" spans="1:18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  <c r="Q997" t="str">
        <f t="shared" si="30"/>
        <v/>
      </c>
      <c r="R997">
        <f t="shared" si="31"/>
        <v>0</v>
      </c>
    </row>
    <row r="998" spans="1:18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  <c r="Q998" t="str">
        <f t="shared" si="30"/>
        <v/>
      </c>
      <c r="R998">
        <f t="shared" si="31"/>
        <v>1</v>
      </c>
    </row>
    <row r="999" spans="1:18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  <c r="Q999" t="str">
        <f t="shared" si="30"/>
        <v/>
      </c>
      <c r="R999">
        <f t="shared" si="31"/>
        <v>0</v>
      </c>
    </row>
    <row r="1000" spans="1:18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  <c r="Q1000" t="str">
        <f t="shared" si="30"/>
        <v/>
      </c>
      <c r="R1000">
        <f t="shared" si="31"/>
        <v>0</v>
      </c>
    </row>
    <row r="1001" spans="1:18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  <c r="Q1001" t="str">
        <f t="shared" si="30"/>
        <v/>
      </c>
      <c r="R1001">
        <f t="shared" si="31"/>
        <v>0</v>
      </c>
    </row>
    <row r="1002" spans="1:18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  <c r="Q1002" t="str">
        <f t="shared" si="30"/>
        <v/>
      </c>
      <c r="R1002">
        <f t="shared" si="31"/>
        <v>0</v>
      </c>
    </row>
    <row r="1003" spans="1:18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  <c r="Q1003" t="str">
        <f t="shared" si="30"/>
        <v/>
      </c>
      <c r="R1003">
        <f t="shared" si="31"/>
        <v>0</v>
      </c>
    </row>
    <row r="1004" spans="1:18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  <c r="Q1004" t="str">
        <f t="shared" si="30"/>
        <v/>
      </c>
      <c r="R1004">
        <f t="shared" si="31"/>
        <v>0</v>
      </c>
    </row>
    <row r="1005" spans="1:18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  <c r="Q1005" t="str">
        <f t="shared" si="30"/>
        <v/>
      </c>
      <c r="R1005">
        <f t="shared" si="31"/>
        <v>0</v>
      </c>
    </row>
    <row r="1006" spans="1:18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  <c r="Q1006" t="str">
        <f t="shared" si="30"/>
        <v/>
      </c>
      <c r="R1006">
        <f t="shared" si="31"/>
        <v>0</v>
      </c>
    </row>
    <row r="1007" spans="1:18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  <c r="Q1007" t="str">
        <f t="shared" si="30"/>
        <v/>
      </c>
      <c r="R1007">
        <f t="shared" si="31"/>
        <v>0</v>
      </c>
    </row>
    <row r="1008" spans="1:18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  <c r="Q1008" t="str">
        <f t="shared" si="30"/>
        <v/>
      </c>
      <c r="R1008">
        <f t="shared" si="31"/>
        <v>0</v>
      </c>
    </row>
    <row r="1009" spans="1:18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  <c r="Q1009" t="str">
        <f t="shared" si="30"/>
        <v/>
      </c>
      <c r="R1009">
        <f t="shared" si="31"/>
        <v>0</v>
      </c>
    </row>
    <row r="1010" spans="1:18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  <c r="Q1010" t="str">
        <f t="shared" si="30"/>
        <v/>
      </c>
      <c r="R1010">
        <f t="shared" si="31"/>
        <v>0</v>
      </c>
    </row>
    <row r="1011" spans="1:18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  <c r="Q1011" t="str">
        <f t="shared" si="30"/>
        <v/>
      </c>
      <c r="R1011">
        <f t="shared" si="31"/>
        <v>0</v>
      </c>
    </row>
    <row r="1012" spans="1:18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  <c r="Q1012" t="str">
        <f t="shared" si="30"/>
        <v/>
      </c>
      <c r="R1012">
        <f t="shared" si="31"/>
        <v>0</v>
      </c>
    </row>
    <row r="1013" spans="1:18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  <c r="Q1013" t="str">
        <f t="shared" si="30"/>
        <v/>
      </c>
      <c r="R1013">
        <f t="shared" si="31"/>
        <v>1</v>
      </c>
    </row>
    <row r="1014" spans="1:18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  <c r="Q1014" t="str">
        <f t="shared" si="30"/>
        <v/>
      </c>
      <c r="R1014">
        <f t="shared" si="31"/>
        <v>0</v>
      </c>
    </row>
    <row r="1015" spans="1:18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  <c r="Q1015" t="str">
        <f t="shared" si="30"/>
        <v/>
      </c>
      <c r="R1015">
        <f t="shared" si="31"/>
        <v>0</v>
      </c>
    </row>
    <row r="1016" spans="1:18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  <c r="Q1016" t="str">
        <f t="shared" si="30"/>
        <v/>
      </c>
      <c r="R1016">
        <f t="shared" si="31"/>
        <v>0</v>
      </c>
    </row>
    <row r="1017" spans="1:18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  <c r="Q1017" t="str">
        <f t="shared" si="30"/>
        <v/>
      </c>
      <c r="R1017">
        <f t="shared" si="31"/>
        <v>0</v>
      </c>
    </row>
    <row r="1018" spans="1:18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  <c r="Q1018" t="str">
        <f t="shared" si="30"/>
        <v/>
      </c>
      <c r="R1018">
        <f t="shared" si="31"/>
        <v>0</v>
      </c>
    </row>
    <row r="1019" spans="1:18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F1019" t="s">
        <v>1433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  <c r="Q1019" t="str">
        <f t="shared" si="30"/>
        <v/>
      </c>
      <c r="R1019">
        <f t="shared" si="31"/>
        <v>0</v>
      </c>
    </row>
    <row r="1020" spans="1:18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  <c r="Q1020" t="str">
        <f t="shared" si="30"/>
        <v/>
      </c>
      <c r="R1020">
        <f t="shared" si="31"/>
        <v>0</v>
      </c>
    </row>
    <row r="1021" spans="1:18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  <c r="Q1021" t="str">
        <f t="shared" si="30"/>
        <v/>
      </c>
      <c r="R1021">
        <f t="shared" si="31"/>
        <v>0</v>
      </c>
    </row>
    <row r="1022" spans="1:18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  <c r="Q1022" t="str">
        <f t="shared" si="30"/>
        <v/>
      </c>
      <c r="R1022">
        <f t="shared" si="31"/>
        <v>0</v>
      </c>
    </row>
    <row r="1023" spans="1:18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  <c r="Q1023" t="str">
        <f t="shared" si="30"/>
        <v/>
      </c>
      <c r="R1023">
        <f t="shared" si="31"/>
        <v>0</v>
      </c>
    </row>
    <row r="1024" spans="1:18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  <c r="Q1024" t="str">
        <f t="shared" si="30"/>
        <v/>
      </c>
      <c r="R1024">
        <f t="shared" si="31"/>
        <v>0</v>
      </c>
    </row>
    <row r="1025" spans="1:18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  <c r="Q1025" t="str">
        <f t="shared" si="30"/>
        <v/>
      </c>
      <c r="R1025">
        <f t="shared" si="31"/>
        <v>0</v>
      </c>
    </row>
    <row r="1026" spans="1:18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  <c r="Q1026" t="str">
        <f t="shared" si="30"/>
        <v/>
      </c>
      <c r="R1026">
        <f t="shared" si="31"/>
        <v>1</v>
      </c>
    </row>
    <row r="1027" spans="1:18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  <c r="Q1027" t="str">
        <f t="shared" ref="Q1027:Q1090" si="32">IF(C1027="Control",K1027,"")</f>
        <v/>
      </c>
      <c r="R1027">
        <f t="shared" ref="R1027:R1090" si="33">IF(C1027="Treatment",K1027,"")</f>
        <v>0</v>
      </c>
    </row>
    <row r="1028" spans="1:18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  <c r="Q1028" t="str">
        <f t="shared" si="32"/>
        <v/>
      </c>
      <c r="R1028">
        <f t="shared" si="33"/>
        <v>0</v>
      </c>
    </row>
    <row r="1029" spans="1:18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  <c r="Q1029" t="str">
        <f t="shared" si="32"/>
        <v/>
      </c>
      <c r="R1029">
        <f t="shared" si="33"/>
        <v>0</v>
      </c>
    </row>
    <row r="1030" spans="1:18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  <c r="Q1030" t="str">
        <f t="shared" si="32"/>
        <v/>
      </c>
      <c r="R1030">
        <f t="shared" si="33"/>
        <v>0</v>
      </c>
    </row>
    <row r="1031" spans="1:18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  <c r="Q1031" t="str">
        <f t="shared" si="32"/>
        <v/>
      </c>
      <c r="R1031">
        <f t="shared" si="33"/>
        <v>0</v>
      </c>
    </row>
    <row r="1032" spans="1:18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  <c r="Q1032" t="str">
        <f t="shared" si="32"/>
        <v/>
      </c>
      <c r="R1032">
        <f t="shared" si="33"/>
        <v>0</v>
      </c>
    </row>
    <row r="1033" spans="1:18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  <c r="Q1033" t="str">
        <f t="shared" si="32"/>
        <v/>
      </c>
      <c r="R1033">
        <f t="shared" si="33"/>
        <v>0</v>
      </c>
    </row>
    <row r="1034" spans="1:18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  <c r="Q1034" t="str">
        <f t="shared" si="32"/>
        <v/>
      </c>
      <c r="R1034">
        <f t="shared" si="33"/>
        <v>0</v>
      </c>
    </row>
    <row r="1035" spans="1:18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  <c r="Q1035" t="str">
        <f t="shared" si="32"/>
        <v/>
      </c>
      <c r="R1035">
        <f t="shared" si="33"/>
        <v>0</v>
      </c>
    </row>
    <row r="1036" spans="1:18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  <c r="Q1036" t="str">
        <f t="shared" si="32"/>
        <v/>
      </c>
      <c r="R1036">
        <f t="shared" si="33"/>
        <v>0</v>
      </c>
    </row>
    <row r="1037" spans="1:18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  <c r="Q1037" t="str">
        <f t="shared" si="32"/>
        <v/>
      </c>
      <c r="R1037">
        <f t="shared" si="33"/>
        <v>0</v>
      </c>
    </row>
    <row r="1038" spans="1:18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  <c r="Q1038" t="str">
        <f t="shared" si="32"/>
        <v/>
      </c>
      <c r="R1038">
        <f t="shared" si="33"/>
        <v>0</v>
      </c>
    </row>
    <row r="1039" spans="1:18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  <c r="Q1039" t="str">
        <f t="shared" si="32"/>
        <v/>
      </c>
      <c r="R1039">
        <f t="shared" si="33"/>
        <v>0</v>
      </c>
    </row>
    <row r="1040" spans="1:18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  <c r="Q1040" t="str">
        <f t="shared" si="32"/>
        <v/>
      </c>
      <c r="R1040">
        <f t="shared" si="33"/>
        <v>0</v>
      </c>
    </row>
    <row r="1041" spans="1:18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  <c r="Q1041" t="str">
        <f t="shared" si="32"/>
        <v/>
      </c>
      <c r="R1041">
        <f t="shared" si="33"/>
        <v>0</v>
      </c>
    </row>
    <row r="1042" spans="1:18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  <c r="Q1042" t="str">
        <f t="shared" si="32"/>
        <v/>
      </c>
      <c r="R1042">
        <f t="shared" si="33"/>
        <v>0</v>
      </c>
    </row>
    <row r="1043" spans="1:18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  <c r="Q1043" t="str">
        <f t="shared" si="32"/>
        <v/>
      </c>
      <c r="R1043">
        <f t="shared" si="33"/>
        <v>0</v>
      </c>
    </row>
    <row r="1044" spans="1:18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  <c r="Q1044" t="str">
        <f t="shared" si="32"/>
        <v/>
      </c>
      <c r="R1044">
        <f t="shared" si="33"/>
        <v>0</v>
      </c>
    </row>
    <row r="1045" spans="1:18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  <c r="Q1045" t="str">
        <f t="shared" si="32"/>
        <v/>
      </c>
      <c r="R1045">
        <f t="shared" si="33"/>
        <v>0</v>
      </c>
    </row>
    <row r="1046" spans="1:18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F1046" t="s">
        <v>1433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  <c r="Q1046" t="str">
        <f t="shared" si="32"/>
        <v/>
      </c>
      <c r="R1046">
        <f t="shared" si="33"/>
        <v>0</v>
      </c>
    </row>
    <row r="1047" spans="1:18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  <c r="Q1047" t="str">
        <f t="shared" si="32"/>
        <v/>
      </c>
      <c r="R1047">
        <f t="shared" si="33"/>
        <v>0</v>
      </c>
    </row>
    <row r="1048" spans="1:18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  <c r="Q1048" t="str">
        <f t="shared" si="32"/>
        <v/>
      </c>
      <c r="R1048">
        <f t="shared" si="33"/>
        <v>0</v>
      </c>
    </row>
    <row r="1049" spans="1:18">
      <c r="A1049" t="s">
        <v>1080</v>
      </c>
      <c r="B1049" s="2">
        <v>45708</v>
      </c>
      <c r="C1049" t="s">
        <v>723</v>
      </c>
      <c r="D1049" t="s">
        <v>28</v>
      </c>
      <c r="E1049" t="s">
        <v>1433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  <c r="Q1049" t="str">
        <f t="shared" si="32"/>
        <v/>
      </c>
      <c r="R1049">
        <f t="shared" si="33"/>
        <v>0</v>
      </c>
    </row>
    <row r="1050" spans="1:18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  <c r="Q1050" t="str">
        <f t="shared" si="32"/>
        <v/>
      </c>
      <c r="R1050">
        <f t="shared" si="33"/>
        <v>0</v>
      </c>
    </row>
    <row r="1051" spans="1:18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  <c r="Q1051" t="str">
        <f t="shared" si="32"/>
        <v/>
      </c>
      <c r="R1051">
        <f t="shared" si="33"/>
        <v>0</v>
      </c>
    </row>
    <row r="1052" spans="1:18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  <c r="Q1052" t="str">
        <f t="shared" si="32"/>
        <v/>
      </c>
      <c r="R1052">
        <f t="shared" si="33"/>
        <v>0</v>
      </c>
    </row>
    <row r="1053" spans="1:18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  <c r="Q1053" t="str">
        <f t="shared" si="32"/>
        <v/>
      </c>
      <c r="R1053">
        <f t="shared" si="33"/>
        <v>0</v>
      </c>
    </row>
    <row r="1054" spans="1:18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  <c r="Q1054" t="str">
        <f t="shared" si="32"/>
        <v/>
      </c>
      <c r="R1054">
        <f t="shared" si="33"/>
        <v>1</v>
      </c>
    </row>
    <row r="1055" spans="1:18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  <c r="Q1055" t="str">
        <f t="shared" si="32"/>
        <v/>
      </c>
      <c r="R1055">
        <f t="shared" si="33"/>
        <v>0</v>
      </c>
    </row>
    <row r="1056" spans="1:18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  <c r="Q1056" t="str">
        <f t="shared" si="32"/>
        <v/>
      </c>
      <c r="R1056">
        <f t="shared" si="33"/>
        <v>0</v>
      </c>
    </row>
    <row r="1057" spans="1:18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  <c r="Q1057" t="str">
        <f t="shared" si="32"/>
        <v/>
      </c>
      <c r="R1057">
        <f t="shared" si="33"/>
        <v>0</v>
      </c>
    </row>
    <row r="1058" spans="1:18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  <c r="Q1058" t="str">
        <f t="shared" si="32"/>
        <v/>
      </c>
      <c r="R1058">
        <f t="shared" si="33"/>
        <v>0</v>
      </c>
    </row>
    <row r="1059" spans="1:18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  <c r="Q1059" t="str">
        <f t="shared" si="32"/>
        <v/>
      </c>
      <c r="R1059">
        <f t="shared" si="33"/>
        <v>0</v>
      </c>
    </row>
    <row r="1060" spans="1:18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  <c r="Q1060" t="str">
        <f t="shared" si="32"/>
        <v/>
      </c>
      <c r="R1060">
        <f t="shared" si="33"/>
        <v>0</v>
      </c>
    </row>
    <row r="1061" spans="1:18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  <c r="Q1061" t="str">
        <f t="shared" si="32"/>
        <v/>
      </c>
      <c r="R1061">
        <f t="shared" si="33"/>
        <v>0</v>
      </c>
    </row>
    <row r="1062" spans="1:18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  <c r="Q1062" t="str">
        <f t="shared" si="32"/>
        <v/>
      </c>
      <c r="R1062">
        <f t="shared" si="33"/>
        <v>0</v>
      </c>
    </row>
    <row r="1063" spans="1:18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  <c r="Q1063" t="str">
        <f t="shared" si="32"/>
        <v/>
      </c>
      <c r="R1063">
        <f t="shared" si="33"/>
        <v>1</v>
      </c>
    </row>
    <row r="1064" spans="1:18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  <c r="Q1064" t="str">
        <f t="shared" si="32"/>
        <v/>
      </c>
      <c r="R1064">
        <f t="shared" si="33"/>
        <v>0</v>
      </c>
    </row>
    <row r="1065" spans="1:18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  <c r="Q1065" t="str">
        <f t="shared" si="32"/>
        <v/>
      </c>
      <c r="R1065">
        <f t="shared" si="33"/>
        <v>0</v>
      </c>
    </row>
    <row r="1066" spans="1:18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  <c r="Q1066" t="str">
        <f t="shared" si="32"/>
        <v/>
      </c>
      <c r="R1066">
        <f t="shared" si="33"/>
        <v>0</v>
      </c>
    </row>
    <row r="1067" spans="1:18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  <c r="Q1067" t="str">
        <f t="shared" si="32"/>
        <v/>
      </c>
      <c r="R1067">
        <f t="shared" si="33"/>
        <v>0</v>
      </c>
    </row>
    <row r="1068" spans="1:18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  <c r="Q1068" t="str">
        <f t="shared" si="32"/>
        <v/>
      </c>
      <c r="R1068">
        <f t="shared" si="33"/>
        <v>0</v>
      </c>
    </row>
    <row r="1069" spans="1:18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  <c r="Q1069" t="str">
        <f t="shared" si="32"/>
        <v/>
      </c>
      <c r="R1069">
        <f t="shared" si="33"/>
        <v>0</v>
      </c>
    </row>
    <row r="1070" spans="1:18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  <c r="Q1070" t="str">
        <f t="shared" si="32"/>
        <v/>
      </c>
      <c r="R1070">
        <f t="shared" si="33"/>
        <v>0</v>
      </c>
    </row>
    <row r="1071" spans="1:18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  <c r="Q1071" t="str">
        <f t="shared" si="32"/>
        <v/>
      </c>
      <c r="R1071">
        <f t="shared" si="33"/>
        <v>0</v>
      </c>
    </row>
    <row r="1072" spans="1:18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  <c r="Q1072" t="str">
        <f t="shared" si="32"/>
        <v/>
      </c>
      <c r="R1072">
        <f t="shared" si="33"/>
        <v>0</v>
      </c>
    </row>
    <row r="1073" spans="1:18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  <c r="Q1073" t="str">
        <f t="shared" si="32"/>
        <v/>
      </c>
      <c r="R1073">
        <f t="shared" si="33"/>
        <v>0</v>
      </c>
    </row>
    <row r="1074" spans="1:18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Q1074" t="str">
        <f t="shared" si="32"/>
        <v/>
      </c>
      <c r="R1074">
        <f t="shared" si="33"/>
        <v>0</v>
      </c>
    </row>
    <row r="1075" spans="1:18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  <c r="Q1075" t="str">
        <f t="shared" si="32"/>
        <v/>
      </c>
      <c r="R1075">
        <f t="shared" si="33"/>
        <v>1</v>
      </c>
    </row>
    <row r="1076" spans="1:18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  <c r="Q1076" t="str">
        <f t="shared" si="32"/>
        <v/>
      </c>
      <c r="R1076">
        <f t="shared" si="33"/>
        <v>0</v>
      </c>
    </row>
    <row r="1077" spans="1:18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  <c r="Q1077" t="str">
        <f t="shared" si="32"/>
        <v/>
      </c>
      <c r="R1077">
        <f t="shared" si="33"/>
        <v>0</v>
      </c>
    </row>
    <row r="1078" spans="1:18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  <c r="Q1078" t="str">
        <f t="shared" si="32"/>
        <v/>
      </c>
      <c r="R1078">
        <f t="shared" si="33"/>
        <v>1</v>
      </c>
    </row>
    <row r="1079" spans="1:18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  <c r="Q1079" t="str">
        <f t="shared" si="32"/>
        <v/>
      </c>
      <c r="R1079">
        <f t="shared" si="33"/>
        <v>1</v>
      </c>
    </row>
    <row r="1080" spans="1:18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  <c r="Q1080" t="str">
        <f t="shared" si="32"/>
        <v/>
      </c>
      <c r="R1080">
        <f t="shared" si="33"/>
        <v>0</v>
      </c>
    </row>
    <row r="1081" spans="1:18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  <c r="Q1081" t="str">
        <f t="shared" si="32"/>
        <v/>
      </c>
      <c r="R1081">
        <f t="shared" si="33"/>
        <v>0</v>
      </c>
    </row>
    <row r="1082" spans="1:18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  <c r="Q1082" t="str">
        <f t="shared" si="32"/>
        <v/>
      </c>
      <c r="R1082">
        <f t="shared" si="33"/>
        <v>0</v>
      </c>
    </row>
    <row r="1083" spans="1:18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  <c r="Q1083" t="str">
        <f t="shared" si="32"/>
        <v/>
      </c>
      <c r="R1083">
        <f t="shared" si="33"/>
        <v>0</v>
      </c>
    </row>
    <row r="1084" spans="1:18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  <c r="Q1084" t="str">
        <f t="shared" si="32"/>
        <v/>
      </c>
      <c r="R1084">
        <f t="shared" si="33"/>
        <v>0</v>
      </c>
    </row>
    <row r="1085" spans="1:18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  <c r="Q1085" t="str">
        <f t="shared" si="32"/>
        <v/>
      </c>
      <c r="R1085">
        <f t="shared" si="33"/>
        <v>0</v>
      </c>
    </row>
    <row r="1086" spans="1:18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  <c r="Q1086" t="str">
        <f t="shared" si="32"/>
        <v/>
      </c>
      <c r="R1086">
        <f t="shared" si="33"/>
        <v>0</v>
      </c>
    </row>
    <row r="1087" spans="1:18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  <c r="Q1087" t="str">
        <f t="shared" si="32"/>
        <v/>
      </c>
      <c r="R1087">
        <f t="shared" si="33"/>
        <v>0</v>
      </c>
    </row>
    <row r="1088" spans="1:18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  <c r="Q1088" t="str">
        <f t="shared" si="32"/>
        <v/>
      </c>
      <c r="R1088">
        <f t="shared" si="33"/>
        <v>0</v>
      </c>
    </row>
    <row r="1089" spans="1:18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  <c r="Q1089" t="str">
        <f t="shared" si="32"/>
        <v/>
      </c>
      <c r="R1089">
        <f t="shared" si="33"/>
        <v>0</v>
      </c>
    </row>
    <row r="1090" spans="1:18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  <c r="Q1090" t="str">
        <f t="shared" si="32"/>
        <v/>
      </c>
      <c r="R1090">
        <f t="shared" si="33"/>
        <v>0</v>
      </c>
    </row>
    <row r="1091" spans="1:18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  <c r="Q1091" t="str">
        <f t="shared" ref="Q1091:Q1154" si="34">IF(C1091="Control",K1091,"")</f>
        <v/>
      </c>
      <c r="R1091">
        <f t="shared" ref="R1091:R1154" si="35">IF(C1091="Treatment",K1091,"")</f>
        <v>0</v>
      </c>
    </row>
    <row r="1092" spans="1:18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  <c r="Q1092" t="str">
        <f t="shared" si="34"/>
        <v/>
      </c>
      <c r="R1092">
        <f t="shared" si="35"/>
        <v>0</v>
      </c>
    </row>
    <row r="1093" spans="1:18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  <c r="Q1093" t="str">
        <f t="shared" si="34"/>
        <v/>
      </c>
      <c r="R1093">
        <f t="shared" si="35"/>
        <v>0</v>
      </c>
    </row>
    <row r="1094" spans="1:18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  <c r="Q1094" t="str">
        <f t="shared" si="34"/>
        <v/>
      </c>
      <c r="R1094">
        <f t="shared" si="35"/>
        <v>0</v>
      </c>
    </row>
    <row r="1095" spans="1:18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  <c r="Q1095" t="str">
        <f t="shared" si="34"/>
        <v/>
      </c>
      <c r="R1095">
        <f t="shared" si="35"/>
        <v>0</v>
      </c>
    </row>
    <row r="1096" spans="1:18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  <c r="Q1096" t="str">
        <f t="shared" si="34"/>
        <v/>
      </c>
      <c r="R1096">
        <f t="shared" si="35"/>
        <v>0</v>
      </c>
    </row>
    <row r="1097" spans="1:18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  <c r="Q1097" t="str">
        <f t="shared" si="34"/>
        <v/>
      </c>
      <c r="R1097">
        <f t="shared" si="35"/>
        <v>0</v>
      </c>
    </row>
    <row r="1098" spans="1:18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  <c r="Q1098" t="str">
        <f t="shared" si="34"/>
        <v/>
      </c>
      <c r="R1098">
        <f t="shared" si="35"/>
        <v>0</v>
      </c>
    </row>
    <row r="1099" spans="1:18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  <c r="Q1099" t="str">
        <f t="shared" si="34"/>
        <v/>
      </c>
      <c r="R1099">
        <f t="shared" si="35"/>
        <v>0</v>
      </c>
    </row>
    <row r="1100" spans="1:18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Q1100" t="str">
        <f t="shared" si="34"/>
        <v/>
      </c>
      <c r="R1100">
        <f t="shared" si="35"/>
        <v>0</v>
      </c>
    </row>
    <row r="1101" spans="1:18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  <c r="Q1101" t="str">
        <f t="shared" si="34"/>
        <v/>
      </c>
      <c r="R1101">
        <f t="shared" si="35"/>
        <v>0</v>
      </c>
    </row>
    <row r="1102" spans="1:18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  <c r="Q1102" t="str">
        <f t="shared" si="34"/>
        <v/>
      </c>
      <c r="R1102">
        <f t="shared" si="35"/>
        <v>0</v>
      </c>
    </row>
    <row r="1103" spans="1:18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  <c r="Q1103" t="str">
        <f t="shared" si="34"/>
        <v/>
      </c>
      <c r="R1103">
        <f t="shared" si="35"/>
        <v>0</v>
      </c>
    </row>
    <row r="1104" spans="1:18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  <c r="Q1104" t="str">
        <f t="shared" si="34"/>
        <v/>
      </c>
      <c r="R1104">
        <f t="shared" si="35"/>
        <v>0</v>
      </c>
    </row>
    <row r="1105" spans="1:18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  <c r="Q1105" t="str">
        <f t="shared" si="34"/>
        <v/>
      </c>
      <c r="R1105">
        <f t="shared" si="35"/>
        <v>0</v>
      </c>
    </row>
    <row r="1106" spans="1:18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  <c r="Q1106" t="str">
        <f t="shared" si="34"/>
        <v/>
      </c>
      <c r="R1106">
        <f t="shared" si="35"/>
        <v>0</v>
      </c>
    </row>
    <row r="1107" spans="1:18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  <c r="Q1107" t="str">
        <f t="shared" si="34"/>
        <v/>
      </c>
      <c r="R1107">
        <f t="shared" si="35"/>
        <v>0</v>
      </c>
    </row>
    <row r="1108" spans="1:18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  <c r="Q1108" t="str">
        <f t="shared" si="34"/>
        <v/>
      </c>
      <c r="R1108">
        <f t="shared" si="35"/>
        <v>0</v>
      </c>
    </row>
    <row r="1109" spans="1:18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  <c r="Q1109" t="str">
        <f t="shared" si="34"/>
        <v/>
      </c>
      <c r="R1109">
        <f t="shared" si="35"/>
        <v>0</v>
      </c>
    </row>
    <row r="1110" spans="1:18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  <c r="Q1110" t="str">
        <f t="shared" si="34"/>
        <v/>
      </c>
      <c r="R1110">
        <f t="shared" si="35"/>
        <v>0</v>
      </c>
    </row>
    <row r="1111" spans="1:18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  <c r="Q1111" t="str">
        <f t="shared" si="34"/>
        <v/>
      </c>
      <c r="R1111">
        <f t="shared" si="35"/>
        <v>0</v>
      </c>
    </row>
    <row r="1112" spans="1:18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  <c r="Q1112" t="str">
        <f t="shared" si="34"/>
        <v/>
      </c>
      <c r="R1112">
        <f t="shared" si="35"/>
        <v>0</v>
      </c>
    </row>
    <row r="1113" spans="1:18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  <c r="Q1113" t="str">
        <f t="shared" si="34"/>
        <v/>
      </c>
      <c r="R1113">
        <f t="shared" si="35"/>
        <v>0</v>
      </c>
    </row>
    <row r="1114" spans="1:18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  <c r="Q1114" t="str">
        <f t="shared" si="34"/>
        <v/>
      </c>
      <c r="R1114">
        <f t="shared" si="35"/>
        <v>0</v>
      </c>
    </row>
    <row r="1115" spans="1:18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  <c r="Q1115" t="str">
        <f t="shared" si="34"/>
        <v/>
      </c>
      <c r="R1115">
        <f t="shared" si="35"/>
        <v>1</v>
      </c>
    </row>
    <row r="1116" spans="1:18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  <c r="Q1116" t="str">
        <f t="shared" si="34"/>
        <v/>
      </c>
      <c r="R1116">
        <f t="shared" si="35"/>
        <v>0</v>
      </c>
    </row>
    <row r="1117" spans="1:18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  <c r="Q1117" t="str">
        <f t="shared" si="34"/>
        <v/>
      </c>
      <c r="R1117">
        <f t="shared" si="35"/>
        <v>0</v>
      </c>
    </row>
    <row r="1118" spans="1:18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  <c r="Q1118" t="str">
        <f t="shared" si="34"/>
        <v/>
      </c>
      <c r="R1118">
        <f t="shared" si="35"/>
        <v>0</v>
      </c>
    </row>
    <row r="1119" spans="1:18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  <c r="Q1119" t="str">
        <f t="shared" si="34"/>
        <v/>
      </c>
      <c r="R1119">
        <f t="shared" si="35"/>
        <v>0</v>
      </c>
    </row>
    <row r="1120" spans="1:18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  <c r="Q1120" t="str">
        <f t="shared" si="34"/>
        <v/>
      </c>
      <c r="R1120">
        <f t="shared" si="35"/>
        <v>0</v>
      </c>
    </row>
    <row r="1121" spans="1:18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  <c r="Q1121" t="str">
        <f t="shared" si="34"/>
        <v/>
      </c>
      <c r="R1121">
        <f t="shared" si="35"/>
        <v>0</v>
      </c>
    </row>
    <row r="1122" spans="1:18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  <c r="Q1122" t="str">
        <f t="shared" si="34"/>
        <v/>
      </c>
      <c r="R1122">
        <f t="shared" si="35"/>
        <v>0</v>
      </c>
    </row>
    <row r="1123" spans="1:18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  <c r="Q1123" t="str">
        <f t="shared" si="34"/>
        <v/>
      </c>
      <c r="R1123">
        <f t="shared" si="35"/>
        <v>0</v>
      </c>
    </row>
    <row r="1124" spans="1:18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  <c r="Q1124" t="str">
        <f t="shared" si="34"/>
        <v/>
      </c>
      <c r="R1124">
        <f t="shared" si="35"/>
        <v>0</v>
      </c>
    </row>
    <row r="1125" spans="1:18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  <c r="Q1125" t="str">
        <f t="shared" si="34"/>
        <v/>
      </c>
      <c r="R1125">
        <f t="shared" si="35"/>
        <v>0</v>
      </c>
    </row>
    <row r="1126" spans="1:18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  <c r="Q1126" t="str">
        <f t="shared" si="34"/>
        <v/>
      </c>
      <c r="R1126">
        <f t="shared" si="35"/>
        <v>0</v>
      </c>
    </row>
    <row r="1127" spans="1:18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  <c r="Q1127" t="str">
        <f t="shared" si="34"/>
        <v/>
      </c>
      <c r="R1127">
        <f t="shared" si="35"/>
        <v>0</v>
      </c>
    </row>
    <row r="1128" spans="1:18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  <c r="Q1128" t="str">
        <f t="shared" si="34"/>
        <v/>
      </c>
      <c r="R1128">
        <f t="shared" si="35"/>
        <v>0</v>
      </c>
    </row>
    <row r="1129" spans="1:18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  <c r="Q1129" t="str">
        <f t="shared" si="34"/>
        <v/>
      </c>
      <c r="R1129">
        <f t="shared" si="35"/>
        <v>0</v>
      </c>
    </row>
    <row r="1130" spans="1:18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  <c r="Q1130" t="str">
        <f t="shared" si="34"/>
        <v/>
      </c>
      <c r="R1130">
        <f t="shared" si="35"/>
        <v>0</v>
      </c>
    </row>
    <row r="1131" spans="1:18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  <c r="Q1131" t="str">
        <f t="shared" si="34"/>
        <v/>
      </c>
      <c r="R1131">
        <f t="shared" si="35"/>
        <v>0</v>
      </c>
    </row>
    <row r="1132" spans="1:18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  <c r="Q1132" t="str">
        <f t="shared" si="34"/>
        <v/>
      </c>
      <c r="R1132">
        <f t="shared" si="35"/>
        <v>0</v>
      </c>
    </row>
    <row r="1133" spans="1:18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  <c r="Q1133" t="str">
        <f t="shared" si="34"/>
        <v/>
      </c>
      <c r="R1133">
        <f t="shared" si="35"/>
        <v>0</v>
      </c>
    </row>
    <row r="1134" spans="1:18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  <c r="Q1134" t="str">
        <f t="shared" si="34"/>
        <v/>
      </c>
      <c r="R1134">
        <f t="shared" si="35"/>
        <v>0</v>
      </c>
    </row>
    <row r="1135" spans="1:18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F1135" t="s">
        <v>1433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  <c r="Q1135" t="str">
        <f t="shared" si="34"/>
        <v/>
      </c>
      <c r="R1135">
        <f t="shared" si="35"/>
        <v>0</v>
      </c>
    </row>
    <row r="1136" spans="1:18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  <c r="Q1136" t="str">
        <f t="shared" si="34"/>
        <v/>
      </c>
      <c r="R1136">
        <f t="shared" si="35"/>
        <v>0</v>
      </c>
    </row>
    <row r="1137" spans="1:18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  <c r="Q1137" t="str">
        <f t="shared" si="34"/>
        <v/>
      </c>
      <c r="R1137">
        <f t="shared" si="35"/>
        <v>0</v>
      </c>
    </row>
    <row r="1138" spans="1:18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  <c r="Q1138" t="str">
        <f t="shared" si="34"/>
        <v/>
      </c>
      <c r="R1138">
        <f t="shared" si="35"/>
        <v>0</v>
      </c>
    </row>
    <row r="1139" spans="1:18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  <c r="Q1139" t="str">
        <f t="shared" si="34"/>
        <v/>
      </c>
      <c r="R1139">
        <f t="shared" si="35"/>
        <v>0</v>
      </c>
    </row>
    <row r="1140" spans="1:18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  <c r="Q1140" t="str">
        <f t="shared" si="34"/>
        <v/>
      </c>
      <c r="R1140">
        <f t="shared" si="35"/>
        <v>0</v>
      </c>
    </row>
    <row r="1141" spans="1:18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  <c r="Q1141" t="str">
        <f t="shared" si="34"/>
        <v/>
      </c>
      <c r="R1141">
        <f t="shared" si="35"/>
        <v>0</v>
      </c>
    </row>
    <row r="1142" spans="1:18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  <c r="Q1142" t="str">
        <f t="shared" si="34"/>
        <v/>
      </c>
      <c r="R1142">
        <f t="shared" si="35"/>
        <v>0</v>
      </c>
    </row>
    <row r="1143" spans="1:18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  <c r="Q1143" t="str">
        <f t="shared" si="34"/>
        <v/>
      </c>
      <c r="R1143">
        <f t="shared" si="35"/>
        <v>1</v>
      </c>
    </row>
    <row r="1144" spans="1:18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  <c r="Q1144" t="str">
        <f t="shared" si="34"/>
        <v/>
      </c>
      <c r="R1144">
        <f t="shared" si="35"/>
        <v>0</v>
      </c>
    </row>
    <row r="1145" spans="1:18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  <c r="Q1145" t="str">
        <f t="shared" si="34"/>
        <v/>
      </c>
      <c r="R1145">
        <f t="shared" si="35"/>
        <v>0</v>
      </c>
    </row>
    <row r="1146" spans="1:18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  <c r="Q1146" t="str">
        <f t="shared" si="34"/>
        <v/>
      </c>
      <c r="R1146">
        <f t="shared" si="35"/>
        <v>1</v>
      </c>
    </row>
    <row r="1147" spans="1:18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  <c r="Q1147" t="str">
        <f t="shared" si="34"/>
        <v/>
      </c>
      <c r="R1147">
        <f t="shared" si="35"/>
        <v>0</v>
      </c>
    </row>
    <row r="1148" spans="1:18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  <c r="Q1148" t="str">
        <f t="shared" si="34"/>
        <v/>
      </c>
      <c r="R1148">
        <f t="shared" si="35"/>
        <v>1</v>
      </c>
    </row>
    <row r="1149" spans="1:18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F1149" t="s">
        <v>1433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  <c r="Q1149" t="str">
        <f t="shared" si="34"/>
        <v/>
      </c>
      <c r="R1149">
        <f t="shared" si="35"/>
        <v>0</v>
      </c>
    </row>
    <row r="1150" spans="1:18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  <c r="Q1150" t="str">
        <f t="shared" si="34"/>
        <v/>
      </c>
      <c r="R1150">
        <f t="shared" si="35"/>
        <v>0</v>
      </c>
    </row>
    <row r="1151" spans="1:18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  <c r="Q1151" t="str">
        <f t="shared" si="34"/>
        <v/>
      </c>
      <c r="R1151">
        <f t="shared" si="35"/>
        <v>0</v>
      </c>
    </row>
    <row r="1152" spans="1:18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  <c r="Q1152" t="str">
        <f t="shared" si="34"/>
        <v/>
      </c>
      <c r="R1152">
        <f t="shared" si="35"/>
        <v>0</v>
      </c>
    </row>
    <row r="1153" spans="1:18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  <c r="Q1153" t="str">
        <f t="shared" si="34"/>
        <v/>
      </c>
      <c r="R1153">
        <f t="shared" si="35"/>
        <v>0</v>
      </c>
    </row>
    <row r="1154" spans="1:18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  <c r="Q1154" t="str">
        <f t="shared" si="34"/>
        <v/>
      </c>
      <c r="R1154">
        <f t="shared" si="35"/>
        <v>0</v>
      </c>
    </row>
    <row r="1155" spans="1:18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  <c r="Q1155" t="str">
        <f t="shared" ref="Q1155:Q1218" si="36">IF(C1155="Control",K1155,"")</f>
        <v/>
      </c>
      <c r="R1155">
        <f t="shared" ref="R1155:R1218" si="37">IF(C1155="Treatment",K1155,"")</f>
        <v>0</v>
      </c>
    </row>
    <row r="1156" spans="1:18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  <c r="Q1156" t="str">
        <f t="shared" si="36"/>
        <v/>
      </c>
      <c r="R1156">
        <f t="shared" si="37"/>
        <v>0</v>
      </c>
    </row>
    <row r="1157" spans="1:18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  <c r="Q1157" t="str">
        <f t="shared" si="36"/>
        <v/>
      </c>
      <c r="R1157">
        <f t="shared" si="37"/>
        <v>0</v>
      </c>
    </row>
    <row r="1158" spans="1:18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  <c r="Q1158" t="str">
        <f t="shared" si="36"/>
        <v/>
      </c>
      <c r="R1158">
        <f t="shared" si="37"/>
        <v>0</v>
      </c>
    </row>
    <row r="1159" spans="1:18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  <c r="Q1159" t="str">
        <f t="shared" si="36"/>
        <v/>
      </c>
      <c r="R1159">
        <f t="shared" si="37"/>
        <v>0</v>
      </c>
    </row>
    <row r="1160" spans="1:18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  <c r="Q1160" t="str">
        <f t="shared" si="36"/>
        <v/>
      </c>
      <c r="R1160">
        <f t="shared" si="37"/>
        <v>0</v>
      </c>
    </row>
    <row r="1161" spans="1:18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  <c r="Q1161" t="str">
        <f t="shared" si="36"/>
        <v/>
      </c>
      <c r="R1161">
        <f t="shared" si="37"/>
        <v>0</v>
      </c>
    </row>
    <row r="1162" spans="1:18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  <c r="Q1162" t="str">
        <f t="shared" si="36"/>
        <v/>
      </c>
      <c r="R1162">
        <f t="shared" si="37"/>
        <v>0</v>
      </c>
    </row>
    <row r="1163" spans="1:18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  <c r="Q1163" t="str">
        <f t="shared" si="36"/>
        <v/>
      </c>
      <c r="R1163">
        <f t="shared" si="37"/>
        <v>0</v>
      </c>
    </row>
    <row r="1164" spans="1:18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  <c r="Q1164" t="str">
        <f t="shared" si="36"/>
        <v/>
      </c>
      <c r="R1164">
        <f t="shared" si="37"/>
        <v>0</v>
      </c>
    </row>
    <row r="1165" spans="1:18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  <c r="Q1165" t="str">
        <f t="shared" si="36"/>
        <v/>
      </c>
      <c r="R1165">
        <f t="shared" si="37"/>
        <v>0</v>
      </c>
    </row>
    <row r="1166" spans="1:18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  <c r="Q1166" t="str">
        <f t="shared" si="36"/>
        <v/>
      </c>
      <c r="R1166">
        <f t="shared" si="37"/>
        <v>0</v>
      </c>
    </row>
    <row r="1167" spans="1:18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  <c r="Q1167" t="str">
        <f t="shared" si="36"/>
        <v/>
      </c>
      <c r="R1167">
        <f t="shared" si="37"/>
        <v>0</v>
      </c>
    </row>
    <row r="1168" spans="1:18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  <c r="Q1168" t="str">
        <f t="shared" si="36"/>
        <v/>
      </c>
      <c r="R1168">
        <f t="shared" si="37"/>
        <v>0</v>
      </c>
    </row>
    <row r="1169" spans="1:18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  <c r="Q1169" t="str">
        <f t="shared" si="36"/>
        <v/>
      </c>
      <c r="R1169">
        <f t="shared" si="37"/>
        <v>1</v>
      </c>
    </row>
    <row r="1170" spans="1:18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  <c r="Q1170" t="str">
        <f t="shared" si="36"/>
        <v/>
      </c>
      <c r="R1170">
        <f t="shared" si="37"/>
        <v>0</v>
      </c>
    </row>
    <row r="1171" spans="1:18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  <c r="Q1171" t="str">
        <f t="shared" si="36"/>
        <v/>
      </c>
      <c r="R1171">
        <f t="shared" si="37"/>
        <v>0</v>
      </c>
    </row>
    <row r="1172" spans="1:18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  <c r="Q1172" t="str">
        <f t="shared" si="36"/>
        <v/>
      </c>
      <c r="R1172">
        <f t="shared" si="37"/>
        <v>0</v>
      </c>
    </row>
    <row r="1173" spans="1:18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  <c r="Q1173" t="str">
        <f t="shared" si="36"/>
        <v/>
      </c>
      <c r="R1173">
        <f t="shared" si="37"/>
        <v>0</v>
      </c>
    </row>
    <row r="1174" spans="1:18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  <c r="Q1174" t="str">
        <f t="shared" si="36"/>
        <v/>
      </c>
      <c r="R1174">
        <f t="shared" si="37"/>
        <v>0</v>
      </c>
    </row>
    <row r="1175" spans="1:18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  <c r="Q1175" t="str">
        <f t="shared" si="36"/>
        <v/>
      </c>
      <c r="R1175">
        <f t="shared" si="37"/>
        <v>0</v>
      </c>
    </row>
    <row r="1176" spans="1:18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  <c r="Q1176" t="str">
        <f t="shared" si="36"/>
        <v/>
      </c>
      <c r="R1176">
        <f t="shared" si="37"/>
        <v>0</v>
      </c>
    </row>
    <row r="1177" spans="1:18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  <c r="Q1177" t="str">
        <f t="shared" si="36"/>
        <v/>
      </c>
      <c r="R1177">
        <f t="shared" si="37"/>
        <v>0</v>
      </c>
    </row>
    <row r="1178" spans="1:18">
      <c r="A1178" t="s">
        <v>1209</v>
      </c>
      <c r="B1178" s="2">
        <v>45692</v>
      </c>
      <c r="C1178" t="s">
        <v>723</v>
      </c>
      <c r="D1178" t="s">
        <v>28</v>
      </c>
      <c r="E1178" t="s">
        <v>1433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  <c r="Q1178" t="str">
        <f t="shared" si="36"/>
        <v/>
      </c>
      <c r="R1178">
        <f t="shared" si="37"/>
        <v>0</v>
      </c>
    </row>
    <row r="1179" spans="1:18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  <c r="Q1179" t="str">
        <f t="shared" si="36"/>
        <v/>
      </c>
      <c r="R1179">
        <f t="shared" si="37"/>
        <v>0</v>
      </c>
    </row>
    <row r="1180" spans="1:18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  <c r="Q1180" t="str">
        <f t="shared" si="36"/>
        <v/>
      </c>
      <c r="R1180">
        <f t="shared" si="37"/>
        <v>1</v>
      </c>
    </row>
    <row r="1181" spans="1:18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  <c r="Q1181" t="str">
        <f t="shared" si="36"/>
        <v/>
      </c>
      <c r="R1181">
        <f t="shared" si="37"/>
        <v>0</v>
      </c>
    </row>
    <row r="1182" spans="1:18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  <c r="Q1182" t="str">
        <f t="shared" si="36"/>
        <v/>
      </c>
      <c r="R1182">
        <f t="shared" si="37"/>
        <v>0</v>
      </c>
    </row>
    <row r="1183" spans="1:18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  <c r="Q1183" t="str">
        <f t="shared" si="36"/>
        <v/>
      </c>
      <c r="R1183">
        <f t="shared" si="37"/>
        <v>0</v>
      </c>
    </row>
    <row r="1184" spans="1:18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  <c r="Q1184" t="str">
        <f t="shared" si="36"/>
        <v/>
      </c>
      <c r="R1184">
        <f t="shared" si="37"/>
        <v>0</v>
      </c>
    </row>
    <row r="1185" spans="1:18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  <c r="Q1185" t="str">
        <f t="shared" si="36"/>
        <v/>
      </c>
      <c r="R1185">
        <f t="shared" si="37"/>
        <v>0</v>
      </c>
    </row>
    <row r="1186" spans="1:18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  <c r="Q1186" t="str">
        <f t="shared" si="36"/>
        <v/>
      </c>
      <c r="R1186">
        <f t="shared" si="37"/>
        <v>0</v>
      </c>
    </row>
    <row r="1187" spans="1:18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  <c r="Q1187" t="str">
        <f t="shared" si="36"/>
        <v/>
      </c>
      <c r="R1187">
        <f t="shared" si="37"/>
        <v>0</v>
      </c>
    </row>
    <row r="1188" spans="1:18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  <c r="Q1188" t="str">
        <f t="shared" si="36"/>
        <v/>
      </c>
      <c r="R1188">
        <f t="shared" si="37"/>
        <v>0</v>
      </c>
    </row>
    <row r="1189" spans="1:18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  <c r="Q1189" t="str">
        <f t="shared" si="36"/>
        <v/>
      </c>
      <c r="R1189">
        <f t="shared" si="37"/>
        <v>0</v>
      </c>
    </row>
    <row r="1190" spans="1:18">
      <c r="A1190" t="s">
        <v>1221</v>
      </c>
      <c r="B1190" s="2">
        <v>45763</v>
      </c>
      <c r="C1190" t="s">
        <v>723</v>
      </c>
      <c r="D1190" t="s">
        <v>28</v>
      </c>
      <c r="E1190" t="s">
        <v>1433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  <c r="Q1190" t="str">
        <f t="shared" si="36"/>
        <v/>
      </c>
      <c r="R1190">
        <f t="shared" si="37"/>
        <v>0</v>
      </c>
    </row>
    <row r="1191" spans="1:18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  <c r="Q1191" t="str">
        <f t="shared" si="36"/>
        <v/>
      </c>
      <c r="R1191">
        <f t="shared" si="37"/>
        <v>0</v>
      </c>
    </row>
    <row r="1192" spans="1:18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  <c r="Q1192" t="str">
        <f t="shared" si="36"/>
        <v/>
      </c>
      <c r="R1192">
        <f t="shared" si="37"/>
        <v>0</v>
      </c>
    </row>
    <row r="1193" spans="1:18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  <c r="Q1193" t="str">
        <f t="shared" si="36"/>
        <v/>
      </c>
      <c r="R1193">
        <f t="shared" si="37"/>
        <v>0</v>
      </c>
    </row>
    <row r="1194" spans="1:18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  <c r="Q1194" t="str">
        <f t="shared" si="36"/>
        <v/>
      </c>
      <c r="R1194">
        <f t="shared" si="37"/>
        <v>0</v>
      </c>
    </row>
    <row r="1195" spans="1:18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  <c r="Q1195" t="str">
        <f t="shared" si="36"/>
        <v/>
      </c>
      <c r="R1195">
        <f t="shared" si="37"/>
        <v>0</v>
      </c>
    </row>
    <row r="1196" spans="1:18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  <c r="Q1196" t="str">
        <f t="shared" si="36"/>
        <v/>
      </c>
      <c r="R1196">
        <f t="shared" si="37"/>
        <v>0</v>
      </c>
    </row>
    <row r="1197" spans="1:18">
      <c r="A1197" t="s">
        <v>1228</v>
      </c>
      <c r="B1197" s="2">
        <v>45710</v>
      </c>
      <c r="C1197" t="s">
        <v>723</v>
      </c>
      <c r="D1197" t="s">
        <v>18</v>
      </c>
      <c r="E1197" t="s">
        <v>1433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  <c r="Q1197" t="str">
        <f t="shared" si="36"/>
        <v/>
      </c>
      <c r="R1197">
        <f t="shared" si="37"/>
        <v>0</v>
      </c>
    </row>
    <row r="1198" spans="1:18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  <c r="Q1198" t="str">
        <f t="shared" si="36"/>
        <v/>
      </c>
      <c r="R1198">
        <f t="shared" si="37"/>
        <v>0</v>
      </c>
    </row>
    <row r="1199" spans="1:18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  <c r="Q1199" t="str">
        <f t="shared" si="36"/>
        <v/>
      </c>
      <c r="R1199">
        <f t="shared" si="37"/>
        <v>0</v>
      </c>
    </row>
    <row r="1200" spans="1:18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  <c r="Q1200" t="str">
        <f t="shared" si="36"/>
        <v/>
      </c>
      <c r="R1200">
        <f t="shared" si="37"/>
        <v>0</v>
      </c>
    </row>
    <row r="1201" spans="1:18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  <c r="Q1201" t="str">
        <f t="shared" si="36"/>
        <v/>
      </c>
      <c r="R1201">
        <f t="shared" si="37"/>
        <v>0</v>
      </c>
    </row>
    <row r="1202" spans="1:18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  <c r="Q1202" t="str">
        <f t="shared" si="36"/>
        <v/>
      </c>
      <c r="R1202">
        <f t="shared" si="37"/>
        <v>0</v>
      </c>
    </row>
    <row r="1203" spans="1:18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  <c r="Q1203" t="str">
        <f t="shared" si="36"/>
        <v/>
      </c>
      <c r="R1203">
        <f t="shared" si="37"/>
        <v>0</v>
      </c>
    </row>
    <row r="1204" spans="1:18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  <c r="Q1204" t="str">
        <f t="shared" si="36"/>
        <v/>
      </c>
      <c r="R1204">
        <f t="shared" si="37"/>
        <v>0</v>
      </c>
    </row>
    <row r="1205" spans="1:18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  <c r="Q1205" t="str">
        <f t="shared" si="36"/>
        <v/>
      </c>
      <c r="R1205">
        <f t="shared" si="37"/>
        <v>0</v>
      </c>
    </row>
    <row r="1206" spans="1:18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  <c r="Q1206" t="str">
        <f t="shared" si="36"/>
        <v/>
      </c>
      <c r="R1206">
        <f t="shared" si="37"/>
        <v>0</v>
      </c>
    </row>
    <row r="1207" spans="1:18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  <c r="Q1207" t="str">
        <f t="shared" si="36"/>
        <v/>
      </c>
      <c r="R1207">
        <f t="shared" si="37"/>
        <v>0</v>
      </c>
    </row>
    <row r="1208" spans="1:18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  <c r="Q1208" t="str">
        <f t="shared" si="36"/>
        <v/>
      </c>
      <c r="R1208">
        <f t="shared" si="37"/>
        <v>0</v>
      </c>
    </row>
    <row r="1209" spans="1:18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  <c r="Q1209" t="str">
        <f t="shared" si="36"/>
        <v/>
      </c>
      <c r="R1209">
        <f t="shared" si="37"/>
        <v>0</v>
      </c>
    </row>
    <row r="1210" spans="1:18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  <c r="Q1210" t="str">
        <f t="shared" si="36"/>
        <v/>
      </c>
      <c r="R1210">
        <f t="shared" si="37"/>
        <v>0</v>
      </c>
    </row>
    <row r="1211" spans="1:18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  <c r="Q1211" t="str">
        <f t="shared" si="36"/>
        <v/>
      </c>
      <c r="R1211">
        <f t="shared" si="37"/>
        <v>0</v>
      </c>
    </row>
    <row r="1212" spans="1:18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  <c r="Q1212" t="str">
        <f t="shared" si="36"/>
        <v/>
      </c>
      <c r="R1212">
        <f t="shared" si="37"/>
        <v>0</v>
      </c>
    </row>
    <row r="1213" spans="1:18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  <c r="Q1213" t="str">
        <f t="shared" si="36"/>
        <v/>
      </c>
      <c r="R1213">
        <f t="shared" si="37"/>
        <v>0</v>
      </c>
    </row>
    <row r="1214" spans="1:18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  <c r="Q1214" t="str">
        <f t="shared" si="36"/>
        <v/>
      </c>
      <c r="R1214">
        <f t="shared" si="37"/>
        <v>0</v>
      </c>
    </row>
    <row r="1215" spans="1:18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  <c r="Q1215" t="str">
        <f t="shared" si="36"/>
        <v/>
      </c>
      <c r="R1215">
        <f t="shared" si="37"/>
        <v>0</v>
      </c>
    </row>
    <row r="1216" spans="1:18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  <c r="Q1216" t="str">
        <f t="shared" si="36"/>
        <v/>
      </c>
      <c r="R1216">
        <f t="shared" si="37"/>
        <v>0</v>
      </c>
    </row>
    <row r="1217" spans="1:18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  <c r="Q1217" t="str">
        <f t="shared" si="36"/>
        <v/>
      </c>
      <c r="R1217">
        <f t="shared" si="37"/>
        <v>0</v>
      </c>
    </row>
    <row r="1218" spans="1:18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  <c r="Q1218" t="str">
        <f t="shared" si="36"/>
        <v/>
      </c>
      <c r="R1218">
        <f t="shared" si="37"/>
        <v>0</v>
      </c>
    </row>
    <row r="1219" spans="1:18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  <c r="Q1219" t="str">
        <f t="shared" ref="Q1219:Q1282" si="38">IF(C1219="Control",K1219,"")</f>
        <v/>
      </c>
      <c r="R1219">
        <f t="shared" ref="R1219:R1282" si="39">IF(C1219="Treatment",K1219,"")</f>
        <v>0</v>
      </c>
    </row>
    <row r="1220" spans="1:18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  <c r="Q1220" t="str">
        <f t="shared" si="38"/>
        <v/>
      </c>
      <c r="R1220">
        <f t="shared" si="39"/>
        <v>0</v>
      </c>
    </row>
    <row r="1221" spans="1:18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  <c r="Q1221" t="str">
        <f t="shared" si="38"/>
        <v/>
      </c>
      <c r="R1221">
        <f t="shared" si="39"/>
        <v>0</v>
      </c>
    </row>
    <row r="1222" spans="1:18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  <c r="Q1222" t="str">
        <f t="shared" si="38"/>
        <v/>
      </c>
      <c r="R1222">
        <f t="shared" si="39"/>
        <v>1</v>
      </c>
    </row>
    <row r="1223" spans="1:18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  <c r="Q1223" t="str">
        <f t="shared" si="38"/>
        <v/>
      </c>
      <c r="R1223">
        <f t="shared" si="39"/>
        <v>1</v>
      </c>
    </row>
    <row r="1224" spans="1:18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  <c r="Q1224" t="str">
        <f t="shared" si="38"/>
        <v/>
      </c>
      <c r="R1224">
        <f t="shared" si="39"/>
        <v>0</v>
      </c>
    </row>
    <row r="1225" spans="1:18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  <c r="Q1225" t="str">
        <f t="shared" si="38"/>
        <v/>
      </c>
      <c r="R1225">
        <f t="shared" si="39"/>
        <v>0</v>
      </c>
    </row>
    <row r="1226" spans="1:18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  <c r="Q1226" t="str">
        <f t="shared" si="38"/>
        <v/>
      </c>
      <c r="R1226">
        <f t="shared" si="39"/>
        <v>0</v>
      </c>
    </row>
    <row r="1227" spans="1:18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  <c r="Q1227" t="str">
        <f t="shared" si="38"/>
        <v/>
      </c>
      <c r="R1227">
        <f t="shared" si="39"/>
        <v>1</v>
      </c>
    </row>
    <row r="1228" spans="1:18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  <c r="Q1228" t="str">
        <f t="shared" si="38"/>
        <v/>
      </c>
      <c r="R1228">
        <f t="shared" si="39"/>
        <v>0</v>
      </c>
    </row>
    <row r="1229" spans="1:18">
      <c r="A1229" t="s">
        <v>1260</v>
      </c>
      <c r="B1229" s="2">
        <v>45739</v>
      </c>
      <c r="C1229" t="s">
        <v>723</v>
      </c>
      <c r="D1229" t="s">
        <v>28</v>
      </c>
      <c r="E1229" t="s">
        <v>1433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  <c r="Q1229" t="str">
        <f t="shared" si="38"/>
        <v/>
      </c>
      <c r="R1229">
        <f t="shared" si="39"/>
        <v>0</v>
      </c>
    </row>
    <row r="1230" spans="1:18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  <c r="Q1230" t="str">
        <f t="shared" si="38"/>
        <v/>
      </c>
      <c r="R1230">
        <f t="shared" si="39"/>
        <v>0</v>
      </c>
    </row>
    <row r="1231" spans="1:18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  <c r="Q1231" t="str">
        <f t="shared" si="38"/>
        <v/>
      </c>
      <c r="R1231">
        <f t="shared" si="39"/>
        <v>0</v>
      </c>
    </row>
    <row r="1232" spans="1:18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  <c r="Q1232" t="str">
        <f t="shared" si="38"/>
        <v/>
      </c>
      <c r="R1232">
        <f t="shared" si="39"/>
        <v>0</v>
      </c>
    </row>
    <row r="1233" spans="1:18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  <c r="Q1233" t="str">
        <f t="shared" si="38"/>
        <v/>
      </c>
      <c r="R1233">
        <f t="shared" si="39"/>
        <v>0</v>
      </c>
    </row>
    <row r="1234" spans="1:18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  <c r="Q1234" t="str">
        <f t="shared" si="38"/>
        <v/>
      </c>
      <c r="R1234">
        <f t="shared" si="39"/>
        <v>0</v>
      </c>
    </row>
    <row r="1235" spans="1:18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  <c r="Q1235" t="str">
        <f t="shared" si="38"/>
        <v/>
      </c>
      <c r="R1235">
        <f t="shared" si="39"/>
        <v>0</v>
      </c>
    </row>
    <row r="1236" spans="1:18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  <c r="Q1236" t="str">
        <f t="shared" si="38"/>
        <v/>
      </c>
      <c r="R1236">
        <f t="shared" si="39"/>
        <v>0</v>
      </c>
    </row>
    <row r="1237" spans="1:18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F1237" t="s">
        <v>1433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  <c r="Q1237" t="str">
        <f t="shared" si="38"/>
        <v/>
      </c>
      <c r="R1237">
        <f t="shared" si="39"/>
        <v>0</v>
      </c>
    </row>
    <row r="1238" spans="1:18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  <c r="Q1238" t="str">
        <f t="shared" si="38"/>
        <v/>
      </c>
      <c r="R1238">
        <f t="shared" si="39"/>
        <v>1</v>
      </c>
    </row>
    <row r="1239" spans="1:18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  <c r="Q1239" t="str">
        <f t="shared" si="38"/>
        <v/>
      </c>
      <c r="R1239">
        <f t="shared" si="39"/>
        <v>0</v>
      </c>
    </row>
    <row r="1240" spans="1:18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  <c r="Q1240" t="str">
        <f t="shared" si="38"/>
        <v/>
      </c>
      <c r="R1240">
        <f t="shared" si="39"/>
        <v>0</v>
      </c>
    </row>
    <row r="1241" spans="1:18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F1241" t="s">
        <v>1433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  <c r="Q1241" t="str">
        <f t="shared" si="38"/>
        <v/>
      </c>
      <c r="R1241">
        <f t="shared" si="39"/>
        <v>0</v>
      </c>
    </row>
    <row r="1242" spans="1:18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  <c r="Q1242" t="str">
        <f t="shared" si="38"/>
        <v/>
      </c>
      <c r="R1242">
        <f t="shared" si="39"/>
        <v>0</v>
      </c>
    </row>
    <row r="1243" spans="1:18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  <c r="Q1243" t="str">
        <f t="shared" si="38"/>
        <v/>
      </c>
      <c r="R1243">
        <f t="shared" si="39"/>
        <v>0</v>
      </c>
    </row>
    <row r="1244" spans="1:18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  <c r="Q1244" t="str">
        <f t="shared" si="38"/>
        <v/>
      </c>
      <c r="R1244">
        <f t="shared" si="39"/>
        <v>0</v>
      </c>
    </row>
    <row r="1245" spans="1:18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  <c r="Q1245" t="str">
        <f t="shared" si="38"/>
        <v/>
      </c>
      <c r="R1245">
        <f t="shared" si="39"/>
        <v>0</v>
      </c>
    </row>
    <row r="1246" spans="1:18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  <c r="Q1246" t="str">
        <f t="shared" si="38"/>
        <v/>
      </c>
      <c r="R1246">
        <f t="shared" si="39"/>
        <v>0</v>
      </c>
    </row>
    <row r="1247" spans="1:18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  <c r="Q1247" t="str">
        <f t="shared" si="38"/>
        <v/>
      </c>
      <c r="R1247">
        <f t="shared" si="39"/>
        <v>0</v>
      </c>
    </row>
    <row r="1248" spans="1:18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  <c r="Q1248" t="str">
        <f t="shared" si="38"/>
        <v/>
      </c>
      <c r="R1248">
        <f t="shared" si="39"/>
        <v>0</v>
      </c>
    </row>
    <row r="1249" spans="1:18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  <c r="Q1249" t="str">
        <f t="shared" si="38"/>
        <v/>
      </c>
      <c r="R1249">
        <f t="shared" si="39"/>
        <v>0</v>
      </c>
    </row>
    <row r="1250" spans="1:18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  <c r="Q1250" t="str">
        <f t="shared" si="38"/>
        <v/>
      </c>
      <c r="R1250">
        <f t="shared" si="39"/>
        <v>0</v>
      </c>
    </row>
    <row r="1251" spans="1:18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  <c r="Q1251" t="str">
        <f t="shared" si="38"/>
        <v/>
      </c>
      <c r="R1251">
        <f t="shared" si="39"/>
        <v>0</v>
      </c>
    </row>
    <row r="1252" spans="1:18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  <c r="Q1252" t="str">
        <f t="shared" si="38"/>
        <v/>
      </c>
      <c r="R1252">
        <f t="shared" si="39"/>
        <v>1</v>
      </c>
    </row>
    <row r="1253" spans="1:18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  <c r="Q1253" t="str">
        <f t="shared" si="38"/>
        <v/>
      </c>
      <c r="R1253">
        <f t="shared" si="39"/>
        <v>0</v>
      </c>
    </row>
    <row r="1254" spans="1:18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  <c r="Q1254" t="str">
        <f t="shared" si="38"/>
        <v/>
      </c>
      <c r="R1254">
        <f t="shared" si="39"/>
        <v>0</v>
      </c>
    </row>
    <row r="1255" spans="1:18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  <c r="Q1255" t="str">
        <f t="shared" si="38"/>
        <v/>
      </c>
      <c r="R1255">
        <f t="shared" si="39"/>
        <v>0</v>
      </c>
    </row>
    <row r="1256" spans="1:18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  <c r="Q1256" t="str">
        <f t="shared" si="38"/>
        <v/>
      </c>
      <c r="R1256">
        <f t="shared" si="39"/>
        <v>0</v>
      </c>
    </row>
    <row r="1257" spans="1:18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F1257" t="s">
        <v>1433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  <c r="Q1257" t="str">
        <f t="shared" si="38"/>
        <v/>
      </c>
      <c r="R1257">
        <f t="shared" si="39"/>
        <v>1</v>
      </c>
    </row>
    <row r="1258" spans="1:18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  <c r="Q1258" t="str">
        <f t="shared" si="38"/>
        <v/>
      </c>
      <c r="R1258">
        <f t="shared" si="39"/>
        <v>0</v>
      </c>
    </row>
    <row r="1259" spans="1:18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  <c r="Q1259" t="str">
        <f t="shared" si="38"/>
        <v/>
      </c>
      <c r="R1259">
        <f t="shared" si="39"/>
        <v>0</v>
      </c>
    </row>
    <row r="1260" spans="1:18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  <c r="Q1260" t="str">
        <f t="shared" si="38"/>
        <v/>
      </c>
      <c r="R1260">
        <f t="shared" si="39"/>
        <v>0</v>
      </c>
    </row>
    <row r="1261" spans="1:18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  <c r="Q1261" t="str">
        <f t="shared" si="38"/>
        <v/>
      </c>
      <c r="R1261">
        <f t="shared" si="39"/>
        <v>0</v>
      </c>
    </row>
    <row r="1262" spans="1:18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  <c r="Q1262" t="str">
        <f t="shared" si="38"/>
        <v/>
      </c>
      <c r="R1262">
        <f t="shared" si="39"/>
        <v>0</v>
      </c>
    </row>
    <row r="1263" spans="1:18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  <c r="Q1263" t="str">
        <f t="shared" si="38"/>
        <v/>
      </c>
      <c r="R1263">
        <f t="shared" si="39"/>
        <v>0</v>
      </c>
    </row>
    <row r="1264" spans="1:18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  <c r="Q1264" t="str">
        <f t="shared" si="38"/>
        <v/>
      </c>
      <c r="R1264">
        <f t="shared" si="39"/>
        <v>0</v>
      </c>
    </row>
    <row r="1265" spans="1:18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  <c r="Q1265" t="str">
        <f t="shared" si="38"/>
        <v/>
      </c>
      <c r="R1265">
        <f t="shared" si="39"/>
        <v>0</v>
      </c>
    </row>
    <row r="1266" spans="1:18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  <c r="Q1266" t="str">
        <f t="shared" si="38"/>
        <v/>
      </c>
      <c r="R1266">
        <f t="shared" si="39"/>
        <v>0</v>
      </c>
    </row>
    <row r="1267" spans="1:18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  <c r="Q1267" t="str">
        <f t="shared" si="38"/>
        <v/>
      </c>
      <c r="R1267">
        <f t="shared" si="39"/>
        <v>0</v>
      </c>
    </row>
    <row r="1268" spans="1:18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  <c r="Q1268" t="str">
        <f t="shared" si="38"/>
        <v/>
      </c>
      <c r="R1268">
        <f t="shared" si="39"/>
        <v>0</v>
      </c>
    </row>
    <row r="1269" spans="1:18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  <c r="Q1269" t="str">
        <f t="shared" si="38"/>
        <v/>
      </c>
      <c r="R1269">
        <f t="shared" si="39"/>
        <v>0</v>
      </c>
    </row>
    <row r="1270" spans="1:18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  <c r="Q1270" t="str">
        <f t="shared" si="38"/>
        <v/>
      </c>
      <c r="R1270">
        <f t="shared" si="39"/>
        <v>0</v>
      </c>
    </row>
    <row r="1271" spans="1:18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  <c r="Q1271" t="str">
        <f t="shared" si="38"/>
        <v/>
      </c>
      <c r="R1271">
        <f t="shared" si="39"/>
        <v>0</v>
      </c>
    </row>
    <row r="1272" spans="1:18">
      <c r="A1272" t="s">
        <v>1303</v>
      </c>
      <c r="B1272" s="2">
        <v>45691</v>
      </c>
      <c r="C1272" t="s">
        <v>723</v>
      </c>
      <c r="D1272" t="s">
        <v>23</v>
      </c>
      <c r="E1272" t="s">
        <v>1433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  <c r="Q1272" t="str">
        <f t="shared" si="38"/>
        <v/>
      </c>
      <c r="R1272">
        <f t="shared" si="39"/>
        <v>0</v>
      </c>
    </row>
    <row r="1273" spans="1:18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  <c r="Q1273" t="str">
        <f t="shared" si="38"/>
        <v/>
      </c>
      <c r="R1273">
        <f t="shared" si="39"/>
        <v>0</v>
      </c>
    </row>
    <row r="1274" spans="1:18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  <c r="Q1274" t="str">
        <f t="shared" si="38"/>
        <v/>
      </c>
      <c r="R1274">
        <f t="shared" si="39"/>
        <v>0</v>
      </c>
    </row>
    <row r="1275" spans="1:18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  <c r="Q1275" t="str">
        <f t="shared" si="38"/>
        <v/>
      </c>
      <c r="R1275">
        <f t="shared" si="39"/>
        <v>0</v>
      </c>
    </row>
    <row r="1276" spans="1:18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  <c r="Q1276" t="str">
        <f t="shared" si="38"/>
        <v/>
      </c>
      <c r="R1276">
        <f t="shared" si="39"/>
        <v>0</v>
      </c>
    </row>
    <row r="1277" spans="1:18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  <c r="Q1277" t="str">
        <f t="shared" si="38"/>
        <v/>
      </c>
      <c r="R1277">
        <f t="shared" si="39"/>
        <v>0</v>
      </c>
    </row>
    <row r="1278" spans="1:18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  <c r="Q1278" t="str">
        <f t="shared" si="38"/>
        <v/>
      </c>
      <c r="R1278">
        <f t="shared" si="39"/>
        <v>0</v>
      </c>
    </row>
    <row r="1279" spans="1:18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  <c r="Q1279" t="str">
        <f t="shared" si="38"/>
        <v/>
      </c>
      <c r="R1279">
        <f t="shared" si="39"/>
        <v>0</v>
      </c>
    </row>
    <row r="1280" spans="1:18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  <c r="Q1280" t="str">
        <f t="shared" si="38"/>
        <v/>
      </c>
      <c r="R1280">
        <f t="shared" si="39"/>
        <v>0</v>
      </c>
    </row>
    <row r="1281" spans="1:18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  <c r="Q1281" t="str">
        <f t="shared" si="38"/>
        <v/>
      </c>
      <c r="R1281">
        <f t="shared" si="39"/>
        <v>0</v>
      </c>
    </row>
    <row r="1282" spans="1:18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  <c r="Q1282" t="str">
        <f t="shared" si="38"/>
        <v/>
      </c>
      <c r="R1282">
        <f t="shared" si="39"/>
        <v>0</v>
      </c>
    </row>
    <row r="1283" spans="1:18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  <c r="Q1283" t="str">
        <f t="shared" ref="Q1283:Q1346" si="40">IF(C1283="Control",K1283,"")</f>
        <v/>
      </c>
      <c r="R1283">
        <f t="shared" ref="R1283:R1346" si="41">IF(C1283="Treatment",K1283,"")</f>
        <v>0</v>
      </c>
    </row>
    <row r="1284" spans="1:18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  <c r="Q1284" t="str">
        <f t="shared" si="40"/>
        <v/>
      </c>
      <c r="R1284">
        <f t="shared" si="41"/>
        <v>0</v>
      </c>
    </row>
    <row r="1285" spans="1:18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  <c r="Q1285" t="str">
        <f t="shared" si="40"/>
        <v/>
      </c>
      <c r="R1285">
        <f t="shared" si="41"/>
        <v>0</v>
      </c>
    </row>
    <row r="1286" spans="1:18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  <c r="Q1286" t="str">
        <f t="shared" si="40"/>
        <v/>
      </c>
      <c r="R1286">
        <f t="shared" si="41"/>
        <v>0</v>
      </c>
    </row>
    <row r="1287" spans="1:18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  <c r="Q1287" t="str">
        <f t="shared" si="40"/>
        <v/>
      </c>
      <c r="R1287">
        <f t="shared" si="41"/>
        <v>0</v>
      </c>
    </row>
    <row r="1288" spans="1:18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  <c r="Q1288" t="str">
        <f t="shared" si="40"/>
        <v/>
      </c>
      <c r="R1288">
        <f t="shared" si="41"/>
        <v>0</v>
      </c>
    </row>
    <row r="1289" spans="1:18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  <c r="Q1289" t="str">
        <f t="shared" si="40"/>
        <v/>
      </c>
      <c r="R1289">
        <f t="shared" si="41"/>
        <v>0</v>
      </c>
    </row>
    <row r="1290" spans="1:18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  <c r="Q1290" t="str">
        <f t="shared" si="40"/>
        <v/>
      </c>
      <c r="R1290">
        <f t="shared" si="41"/>
        <v>0</v>
      </c>
    </row>
    <row r="1291" spans="1:18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  <c r="Q1291" t="str">
        <f t="shared" si="40"/>
        <v/>
      </c>
      <c r="R1291">
        <f t="shared" si="41"/>
        <v>0</v>
      </c>
    </row>
    <row r="1292" spans="1:18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  <c r="Q1292" t="str">
        <f t="shared" si="40"/>
        <v/>
      </c>
      <c r="R1292">
        <f t="shared" si="41"/>
        <v>0</v>
      </c>
    </row>
    <row r="1293" spans="1:18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  <c r="Q1293" t="str">
        <f t="shared" si="40"/>
        <v/>
      </c>
      <c r="R1293">
        <f t="shared" si="41"/>
        <v>0</v>
      </c>
    </row>
    <row r="1294" spans="1:18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  <c r="Q1294" t="str">
        <f t="shared" si="40"/>
        <v/>
      </c>
      <c r="R1294">
        <f t="shared" si="41"/>
        <v>0</v>
      </c>
    </row>
    <row r="1295" spans="1:18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  <c r="Q1295" t="str">
        <f t="shared" si="40"/>
        <v/>
      </c>
      <c r="R1295">
        <f t="shared" si="41"/>
        <v>0</v>
      </c>
    </row>
    <row r="1296" spans="1:18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  <c r="Q1296" t="str">
        <f t="shared" si="40"/>
        <v/>
      </c>
      <c r="R1296">
        <f t="shared" si="41"/>
        <v>0</v>
      </c>
    </row>
    <row r="1297" spans="1:18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  <c r="Q1297" t="str">
        <f t="shared" si="40"/>
        <v/>
      </c>
      <c r="R1297">
        <f t="shared" si="41"/>
        <v>0</v>
      </c>
    </row>
    <row r="1298" spans="1:18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  <c r="Q1298" t="str">
        <f t="shared" si="40"/>
        <v/>
      </c>
      <c r="R1298">
        <f t="shared" si="41"/>
        <v>1</v>
      </c>
    </row>
    <row r="1299" spans="1:18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  <c r="Q1299" t="str">
        <f t="shared" si="40"/>
        <v/>
      </c>
      <c r="R1299">
        <f t="shared" si="41"/>
        <v>0</v>
      </c>
    </row>
    <row r="1300" spans="1:18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Q1300" t="str">
        <f t="shared" si="40"/>
        <v/>
      </c>
      <c r="R1300">
        <f t="shared" si="41"/>
        <v>0</v>
      </c>
    </row>
    <row r="1301" spans="1:18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  <c r="Q1301" t="str">
        <f t="shared" si="40"/>
        <v/>
      </c>
      <c r="R1301">
        <f t="shared" si="41"/>
        <v>0</v>
      </c>
    </row>
    <row r="1302" spans="1:18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  <c r="Q1302" t="str">
        <f t="shared" si="40"/>
        <v/>
      </c>
      <c r="R1302">
        <f t="shared" si="41"/>
        <v>0</v>
      </c>
    </row>
    <row r="1303" spans="1:18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  <c r="Q1303" t="str">
        <f t="shared" si="40"/>
        <v/>
      </c>
      <c r="R1303">
        <f t="shared" si="41"/>
        <v>0</v>
      </c>
    </row>
    <row r="1304" spans="1:18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  <c r="Q1304" t="str">
        <f t="shared" si="40"/>
        <v/>
      </c>
      <c r="R1304">
        <f t="shared" si="41"/>
        <v>0</v>
      </c>
    </row>
    <row r="1305" spans="1:18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  <c r="Q1305" t="str">
        <f t="shared" si="40"/>
        <v/>
      </c>
      <c r="R1305">
        <f t="shared" si="41"/>
        <v>0</v>
      </c>
    </row>
    <row r="1306" spans="1:18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  <c r="Q1306" t="str">
        <f t="shared" si="40"/>
        <v/>
      </c>
      <c r="R1306">
        <f t="shared" si="41"/>
        <v>0</v>
      </c>
    </row>
    <row r="1307" spans="1:18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  <c r="Q1307" t="str">
        <f t="shared" si="40"/>
        <v/>
      </c>
      <c r="R1307">
        <f t="shared" si="41"/>
        <v>0</v>
      </c>
    </row>
    <row r="1308" spans="1:18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  <c r="Q1308" t="str">
        <f t="shared" si="40"/>
        <v/>
      </c>
      <c r="R1308">
        <f t="shared" si="41"/>
        <v>0</v>
      </c>
    </row>
    <row r="1309" spans="1:18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  <c r="Q1309" t="str">
        <f t="shared" si="40"/>
        <v/>
      </c>
      <c r="R1309">
        <f t="shared" si="41"/>
        <v>0</v>
      </c>
    </row>
    <row r="1310" spans="1:18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  <c r="Q1310" t="str">
        <f t="shared" si="40"/>
        <v/>
      </c>
      <c r="R1310">
        <f t="shared" si="41"/>
        <v>0</v>
      </c>
    </row>
    <row r="1311" spans="1:18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  <c r="Q1311" t="str">
        <f t="shared" si="40"/>
        <v/>
      </c>
      <c r="R1311">
        <f t="shared" si="41"/>
        <v>0</v>
      </c>
    </row>
    <row r="1312" spans="1:18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  <c r="Q1312" t="str">
        <f t="shared" si="40"/>
        <v/>
      </c>
      <c r="R1312">
        <f t="shared" si="41"/>
        <v>1</v>
      </c>
    </row>
    <row r="1313" spans="1:18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  <c r="Q1313" t="str">
        <f t="shared" si="40"/>
        <v/>
      </c>
      <c r="R1313">
        <f t="shared" si="41"/>
        <v>0</v>
      </c>
    </row>
    <row r="1314" spans="1:18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  <c r="Q1314" t="str">
        <f t="shared" si="40"/>
        <v/>
      </c>
      <c r="R1314">
        <f t="shared" si="41"/>
        <v>0</v>
      </c>
    </row>
    <row r="1315" spans="1:18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  <c r="Q1315" t="str">
        <f t="shared" si="40"/>
        <v/>
      </c>
      <c r="R1315">
        <f t="shared" si="41"/>
        <v>0</v>
      </c>
    </row>
    <row r="1316" spans="1:18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F1316" t="s">
        <v>1433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  <c r="Q1316" t="str">
        <f t="shared" si="40"/>
        <v/>
      </c>
      <c r="R1316">
        <f t="shared" si="41"/>
        <v>0</v>
      </c>
    </row>
    <row r="1317" spans="1:18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Q1317" t="str">
        <f t="shared" si="40"/>
        <v/>
      </c>
      <c r="R1317">
        <f t="shared" si="41"/>
        <v>0</v>
      </c>
    </row>
    <row r="1318" spans="1:18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  <c r="Q1318" t="str">
        <f t="shared" si="40"/>
        <v/>
      </c>
      <c r="R1318">
        <f t="shared" si="41"/>
        <v>0</v>
      </c>
    </row>
    <row r="1319" spans="1:18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  <c r="Q1319" t="str">
        <f t="shared" si="40"/>
        <v/>
      </c>
      <c r="R1319">
        <f t="shared" si="41"/>
        <v>0</v>
      </c>
    </row>
    <row r="1320" spans="1:18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  <c r="Q1320" t="str">
        <f t="shared" si="40"/>
        <v/>
      </c>
      <c r="R1320">
        <f t="shared" si="41"/>
        <v>1</v>
      </c>
    </row>
    <row r="1321" spans="1:18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  <c r="Q1321" t="str">
        <f t="shared" si="40"/>
        <v/>
      </c>
      <c r="R1321">
        <f t="shared" si="41"/>
        <v>0</v>
      </c>
    </row>
    <row r="1322" spans="1:18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  <c r="Q1322" t="str">
        <f t="shared" si="40"/>
        <v/>
      </c>
      <c r="R1322">
        <f t="shared" si="41"/>
        <v>0</v>
      </c>
    </row>
    <row r="1323" spans="1:18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  <c r="Q1323" t="str">
        <f t="shared" si="40"/>
        <v/>
      </c>
      <c r="R1323">
        <f t="shared" si="41"/>
        <v>1</v>
      </c>
    </row>
    <row r="1324" spans="1:18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  <c r="Q1324" t="str">
        <f t="shared" si="40"/>
        <v/>
      </c>
      <c r="R1324">
        <f t="shared" si="41"/>
        <v>0</v>
      </c>
    </row>
    <row r="1325" spans="1:18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  <c r="Q1325" t="str">
        <f t="shared" si="40"/>
        <v/>
      </c>
      <c r="R1325">
        <f t="shared" si="41"/>
        <v>0</v>
      </c>
    </row>
    <row r="1326" spans="1:18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  <c r="Q1326" t="str">
        <f t="shared" si="40"/>
        <v/>
      </c>
      <c r="R1326">
        <f t="shared" si="41"/>
        <v>0</v>
      </c>
    </row>
    <row r="1327" spans="1:18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  <c r="Q1327" t="str">
        <f t="shared" si="40"/>
        <v/>
      </c>
      <c r="R1327">
        <f t="shared" si="41"/>
        <v>0</v>
      </c>
    </row>
    <row r="1328" spans="1:18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  <c r="Q1328" t="str">
        <f t="shared" si="40"/>
        <v/>
      </c>
      <c r="R1328">
        <f t="shared" si="41"/>
        <v>0</v>
      </c>
    </row>
    <row r="1329" spans="1:18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F1329" t="s">
        <v>1433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  <c r="Q1329" t="str">
        <f t="shared" si="40"/>
        <v/>
      </c>
      <c r="R1329">
        <f t="shared" si="41"/>
        <v>0</v>
      </c>
    </row>
    <row r="1330" spans="1:18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  <c r="Q1330" t="str">
        <f t="shared" si="40"/>
        <v/>
      </c>
      <c r="R1330">
        <f t="shared" si="41"/>
        <v>0</v>
      </c>
    </row>
    <row r="1331" spans="1:18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  <c r="Q1331" t="str">
        <f t="shared" si="40"/>
        <v/>
      </c>
      <c r="R1331">
        <f t="shared" si="41"/>
        <v>0</v>
      </c>
    </row>
    <row r="1332" spans="1:18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  <c r="Q1332" t="str">
        <f t="shared" si="40"/>
        <v/>
      </c>
      <c r="R1332">
        <f t="shared" si="41"/>
        <v>0</v>
      </c>
    </row>
    <row r="1333" spans="1:18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  <c r="Q1333" t="str">
        <f t="shared" si="40"/>
        <v/>
      </c>
      <c r="R1333">
        <f t="shared" si="41"/>
        <v>0</v>
      </c>
    </row>
    <row r="1334" spans="1:18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  <c r="Q1334" t="str">
        <f t="shared" si="40"/>
        <v/>
      </c>
      <c r="R1334">
        <f t="shared" si="41"/>
        <v>0</v>
      </c>
    </row>
    <row r="1335" spans="1:18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  <c r="Q1335" t="str">
        <f t="shared" si="40"/>
        <v/>
      </c>
      <c r="R1335">
        <f t="shared" si="41"/>
        <v>0</v>
      </c>
    </row>
    <row r="1336" spans="1:18">
      <c r="A1336" t="s">
        <v>1367</v>
      </c>
      <c r="B1336" s="2">
        <v>45763</v>
      </c>
      <c r="C1336" t="s">
        <v>723</v>
      </c>
      <c r="D1336" t="s">
        <v>32</v>
      </c>
      <c r="E1336" t="s">
        <v>1433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  <c r="Q1336" t="str">
        <f t="shared" si="40"/>
        <v/>
      </c>
      <c r="R1336">
        <f t="shared" si="41"/>
        <v>0</v>
      </c>
    </row>
    <row r="1337" spans="1:18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  <c r="Q1337" t="str">
        <f t="shared" si="40"/>
        <v/>
      </c>
      <c r="R1337">
        <f t="shared" si="41"/>
        <v>0</v>
      </c>
    </row>
    <row r="1338" spans="1:18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  <c r="Q1338" t="str">
        <f t="shared" si="40"/>
        <v/>
      </c>
      <c r="R1338">
        <f t="shared" si="41"/>
        <v>0</v>
      </c>
    </row>
    <row r="1339" spans="1:18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  <c r="Q1339" t="str">
        <f t="shared" si="40"/>
        <v/>
      </c>
      <c r="R1339">
        <f t="shared" si="41"/>
        <v>0</v>
      </c>
    </row>
    <row r="1340" spans="1:18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  <c r="Q1340" t="str">
        <f t="shared" si="40"/>
        <v/>
      </c>
      <c r="R1340">
        <f t="shared" si="41"/>
        <v>0</v>
      </c>
    </row>
    <row r="1341" spans="1:18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  <c r="Q1341" t="str">
        <f t="shared" si="40"/>
        <v/>
      </c>
      <c r="R1341">
        <f t="shared" si="41"/>
        <v>0</v>
      </c>
    </row>
    <row r="1342" spans="1:18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  <c r="Q1342" t="str">
        <f t="shared" si="40"/>
        <v/>
      </c>
      <c r="R1342">
        <f t="shared" si="41"/>
        <v>0</v>
      </c>
    </row>
    <row r="1343" spans="1:18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  <c r="Q1343" t="str">
        <f t="shared" si="40"/>
        <v/>
      </c>
      <c r="R1343">
        <f t="shared" si="41"/>
        <v>0</v>
      </c>
    </row>
    <row r="1344" spans="1:18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  <c r="Q1344" t="str">
        <f t="shared" si="40"/>
        <v/>
      </c>
      <c r="R1344">
        <f t="shared" si="41"/>
        <v>0</v>
      </c>
    </row>
    <row r="1345" spans="1:18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  <c r="Q1345" t="str">
        <f t="shared" si="40"/>
        <v/>
      </c>
      <c r="R1345">
        <f t="shared" si="41"/>
        <v>0</v>
      </c>
    </row>
    <row r="1346" spans="1:18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  <c r="Q1346" t="str">
        <f t="shared" si="40"/>
        <v/>
      </c>
      <c r="R1346">
        <f t="shared" si="41"/>
        <v>0</v>
      </c>
    </row>
    <row r="1347" spans="1:18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  <c r="Q1347" t="str">
        <f t="shared" ref="Q1347:Q1401" si="42">IF(C1347="Control",K1347,"")</f>
        <v/>
      </c>
      <c r="R1347">
        <f t="shared" ref="R1347:R1401" si="43">IF(C1347="Treatment",K1347,"")</f>
        <v>0</v>
      </c>
    </row>
    <row r="1348" spans="1:18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  <c r="Q1348" t="str">
        <f t="shared" si="42"/>
        <v/>
      </c>
      <c r="R1348">
        <f t="shared" si="43"/>
        <v>0</v>
      </c>
    </row>
    <row r="1349" spans="1:18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  <c r="Q1349" t="str">
        <f t="shared" si="42"/>
        <v/>
      </c>
      <c r="R1349">
        <f t="shared" si="43"/>
        <v>0</v>
      </c>
    </row>
    <row r="1350" spans="1:18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  <c r="Q1350" t="str">
        <f t="shared" si="42"/>
        <v/>
      </c>
      <c r="R1350">
        <f t="shared" si="43"/>
        <v>0</v>
      </c>
    </row>
    <row r="1351" spans="1:18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  <c r="Q1351" t="str">
        <f t="shared" si="42"/>
        <v/>
      </c>
      <c r="R1351">
        <f t="shared" si="43"/>
        <v>1</v>
      </c>
    </row>
    <row r="1352" spans="1:18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  <c r="Q1352" t="str">
        <f t="shared" si="42"/>
        <v/>
      </c>
      <c r="R1352">
        <f t="shared" si="43"/>
        <v>0</v>
      </c>
    </row>
    <row r="1353" spans="1:18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  <c r="Q1353" t="str">
        <f t="shared" si="42"/>
        <v/>
      </c>
      <c r="R1353">
        <f t="shared" si="43"/>
        <v>0</v>
      </c>
    </row>
    <row r="1354" spans="1:18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  <c r="Q1354" t="str">
        <f t="shared" si="42"/>
        <v/>
      </c>
      <c r="R1354">
        <f t="shared" si="43"/>
        <v>0</v>
      </c>
    </row>
    <row r="1355" spans="1:18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  <c r="Q1355" t="str">
        <f t="shared" si="42"/>
        <v/>
      </c>
      <c r="R1355">
        <f t="shared" si="43"/>
        <v>0</v>
      </c>
    </row>
    <row r="1356" spans="1:18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  <c r="Q1356" t="str">
        <f t="shared" si="42"/>
        <v/>
      </c>
      <c r="R1356">
        <f t="shared" si="43"/>
        <v>0</v>
      </c>
    </row>
    <row r="1357" spans="1:18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F1357" t="s">
        <v>1433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  <c r="Q1357" t="str">
        <f t="shared" si="42"/>
        <v/>
      </c>
      <c r="R1357">
        <f t="shared" si="43"/>
        <v>0</v>
      </c>
    </row>
    <row r="1358" spans="1:18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  <c r="Q1358" t="str">
        <f t="shared" si="42"/>
        <v/>
      </c>
      <c r="R1358">
        <f t="shared" si="43"/>
        <v>0</v>
      </c>
    </row>
    <row r="1359" spans="1:18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  <c r="Q1359" t="str">
        <f t="shared" si="42"/>
        <v/>
      </c>
      <c r="R1359">
        <f t="shared" si="43"/>
        <v>0</v>
      </c>
    </row>
    <row r="1360" spans="1:18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  <c r="Q1360" t="str">
        <f t="shared" si="42"/>
        <v/>
      </c>
      <c r="R1360">
        <f t="shared" si="43"/>
        <v>0</v>
      </c>
    </row>
    <row r="1361" spans="1:18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  <c r="Q1361" t="str">
        <f t="shared" si="42"/>
        <v/>
      </c>
      <c r="R1361">
        <f t="shared" si="43"/>
        <v>0</v>
      </c>
    </row>
    <row r="1362" spans="1:18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  <c r="Q1362" t="str">
        <f t="shared" si="42"/>
        <v/>
      </c>
      <c r="R1362">
        <f t="shared" si="43"/>
        <v>0</v>
      </c>
    </row>
    <row r="1363" spans="1:18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  <c r="Q1363" t="str">
        <f t="shared" si="42"/>
        <v/>
      </c>
      <c r="R1363">
        <f t="shared" si="43"/>
        <v>0</v>
      </c>
    </row>
    <row r="1364" spans="1:18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  <c r="Q1364" t="str">
        <f t="shared" si="42"/>
        <v/>
      </c>
      <c r="R1364">
        <f t="shared" si="43"/>
        <v>0</v>
      </c>
    </row>
    <row r="1365" spans="1:18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  <c r="Q1365" t="str">
        <f t="shared" si="42"/>
        <v/>
      </c>
      <c r="R1365">
        <f t="shared" si="43"/>
        <v>0</v>
      </c>
    </row>
    <row r="1366" spans="1:18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  <c r="Q1366" t="str">
        <f t="shared" si="42"/>
        <v/>
      </c>
      <c r="R1366">
        <f t="shared" si="43"/>
        <v>0</v>
      </c>
    </row>
    <row r="1367" spans="1:18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  <c r="Q1367" t="str">
        <f t="shared" si="42"/>
        <v/>
      </c>
      <c r="R1367">
        <f t="shared" si="43"/>
        <v>0</v>
      </c>
    </row>
    <row r="1368" spans="1:18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  <c r="Q1368" t="str">
        <f t="shared" si="42"/>
        <v/>
      </c>
      <c r="R1368">
        <f t="shared" si="43"/>
        <v>0</v>
      </c>
    </row>
    <row r="1369" spans="1:18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  <c r="Q1369" t="str">
        <f t="shared" si="42"/>
        <v/>
      </c>
      <c r="R1369">
        <f t="shared" si="43"/>
        <v>0</v>
      </c>
    </row>
    <row r="1370" spans="1:18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  <c r="Q1370" t="str">
        <f t="shared" si="42"/>
        <v/>
      </c>
      <c r="R1370">
        <f t="shared" si="43"/>
        <v>0</v>
      </c>
    </row>
    <row r="1371" spans="1:18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  <c r="Q1371" t="str">
        <f t="shared" si="42"/>
        <v/>
      </c>
      <c r="R1371">
        <f t="shared" si="43"/>
        <v>0</v>
      </c>
    </row>
    <row r="1372" spans="1:18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  <c r="Q1372" t="str">
        <f t="shared" si="42"/>
        <v/>
      </c>
      <c r="R1372">
        <f t="shared" si="43"/>
        <v>0</v>
      </c>
    </row>
    <row r="1373" spans="1:18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  <c r="Q1373" t="str">
        <f t="shared" si="42"/>
        <v/>
      </c>
      <c r="R1373">
        <f t="shared" si="43"/>
        <v>0</v>
      </c>
    </row>
    <row r="1374" spans="1:18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  <c r="Q1374" t="str">
        <f t="shared" si="42"/>
        <v/>
      </c>
      <c r="R1374">
        <f t="shared" si="43"/>
        <v>0</v>
      </c>
    </row>
    <row r="1375" spans="1:18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  <c r="Q1375" t="str">
        <f t="shared" si="42"/>
        <v/>
      </c>
      <c r="R1375">
        <f t="shared" si="43"/>
        <v>0</v>
      </c>
    </row>
    <row r="1376" spans="1:18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  <c r="Q1376" t="str">
        <f t="shared" si="42"/>
        <v/>
      </c>
      <c r="R1376">
        <f t="shared" si="43"/>
        <v>0</v>
      </c>
    </row>
    <row r="1377" spans="1:18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  <c r="Q1377" t="str">
        <f t="shared" si="42"/>
        <v/>
      </c>
      <c r="R1377">
        <f t="shared" si="43"/>
        <v>0</v>
      </c>
    </row>
    <row r="1378" spans="1:18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  <c r="Q1378" t="str">
        <f t="shared" si="42"/>
        <v/>
      </c>
      <c r="R1378">
        <f t="shared" si="43"/>
        <v>0</v>
      </c>
    </row>
    <row r="1379" spans="1:18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  <c r="Q1379" t="str">
        <f t="shared" si="42"/>
        <v/>
      </c>
      <c r="R1379">
        <f t="shared" si="43"/>
        <v>0</v>
      </c>
    </row>
    <row r="1380" spans="1:18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  <c r="Q1380" t="str">
        <f t="shared" si="42"/>
        <v/>
      </c>
      <c r="R1380">
        <f t="shared" si="43"/>
        <v>1</v>
      </c>
    </row>
    <row r="1381" spans="1:18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  <c r="Q1381" t="str">
        <f t="shared" si="42"/>
        <v/>
      </c>
      <c r="R1381">
        <f t="shared" si="43"/>
        <v>0</v>
      </c>
    </row>
    <row r="1382" spans="1:18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  <c r="Q1382" t="str">
        <f t="shared" si="42"/>
        <v/>
      </c>
      <c r="R1382">
        <f t="shared" si="43"/>
        <v>0</v>
      </c>
    </row>
    <row r="1383" spans="1:18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  <c r="Q1383" t="str">
        <f t="shared" si="42"/>
        <v/>
      </c>
      <c r="R1383">
        <f t="shared" si="43"/>
        <v>0</v>
      </c>
    </row>
    <row r="1384" spans="1:18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  <c r="Q1384" t="str">
        <f t="shared" si="42"/>
        <v/>
      </c>
      <c r="R1384">
        <f t="shared" si="43"/>
        <v>0</v>
      </c>
    </row>
    <row r="1385" spans="1:18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  <c r="Q1385" t="str">
        <f t="shared" si="42"/>
        <v/>
      </c>
      <c r="R1385">
        <f t="shared" si="43"/>
        <v>0</v>
      </c>
    </row>
    <row r="1386" spans="1:18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  <c r="Q1386" t="str">
        <f t="shared" si="42"/>
        <v/>
      </c>
      <c r="R1386">
        <f t="shared" si="43"/>
        <v>0</v>
      </c>
    </row>
    <row r="1387" spans="1:18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  <c r="Q1387" t="str">
        <f t="shared" si="42"/>
        <v/>
      </c>
      <c r="R1387">
        <f t="shared" si="43"/>
        <v>0</v>
      </c>
    </row>
    <row r="1388" spans="1:18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  <c r="Q1388" t="str">
        <f t="shared" si="42"/>
        <v/>
      </c>
      <c r="R1388">
        <f t="shared" si="43"/>
        <v>0</v>
      </c>
    </row>
    <row r="1389" spans="1:18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  <c r="Q1389" t="str">
        <f t="shared" si="42"/>
        <v/>
      </c>
      <c r="R1389">
        <f t="shared" si="43"/>
        <v>0</v>
      </c>
    </row>
    <row r="1390" spans="1:18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  <c r="Q1390" t="str">
        <f t="shared" si="42"/>
        <v/>
      </c>
      <c r="R1390">
        <f t="shared" si="43"/>
        <v>0</v>
      </c>
    </row>
    <row r="1391" spans="1:18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  <c r="Q1391" t="str">
        <f t="shared" si="42"/>
        <v/>
      </c>
      <c r="R1391">
        <f t="shared" si="43"/>
        <v>0</v>
      </c>
    </row>
    <row r="1392" spans="1:18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  <c r="Q1392" t="str">
        <f t="shared" si="42"/>
        <v/>
      </c>
      <c r="R1392">
        <f t="shared" si="43"/>
        <v>0</v>
      </c>
    </row>
    <row r="1393" spans="1:18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  <c r="Q1393" t="str">
        <f t="shared" si="42"/>
        <v/>
      </c>
      <c r="R1393">
        <f t="shared" si="43"/>
        <v>0</v>
      </c>
    </row>
    <row r="1394" spans="1:18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  <c r="Q1394" t="str">
        <f t="shared" si="42"/>
        <v/>
      </c>
      <c r="R1394">
        <f t="shared" si="43"/>
        <v>0</v>
      </c>
    </row>
    <row r="1395" spans="1:18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  <c r="Q1395" t="str">
        <f t="shared" si="42"/>
        <v/>
      </c>
      <c r="R1395">
        <f t="shared" si="43"/>
        <v>0</v>
      </c>
    </row>
    <row r="1396" spans="1:18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  <c r="Q1396" t="str">
        <f t="shared" si="42"/>
        <v/>
      </c>
      <c r="R1396">
        <f t="shared" si="43"/>
        <v>0</v>
      </c>
    </row>
    <row r="1397" spans="1:18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F1397" t="s">
        <v>1433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  <c r="Q1397" t="str">
        <f t="shared" si="42"/>
        <v/>
      </c>
      <c r="R1397">
        <f t="shared" si="43"/>
        <v>1</v>
      </c>
    </row>
    <row r="1398" spans="1:18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  <c r="Q1398" t="str">
        <f t="shared" si="42"/>
        <v/>
      </c>
      <c r="R1398">
        <f t="shared" si="43"/>
        <v>0</v>
      </c>
    </row>
    <row r="1399" spans="1:18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  <c r="Q1399" t="str">
        <f t="shared" si="42"/>
        <v/>
      </c>
      <c r="R1399">
        <f t="shared" si="43"/>
        <v>0</v>
      </c>
    </row>
    <row r="1400" spans="1:18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  <c r="Q1400" t="str">
        <f t="shared" si="42"/>
        <v/>
      </c>
      <c r="R1400">
        <f t="shared" si="43"/>
        <v>0</v>
      </c>
    </row>
    <row r="1401" spans="1:18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  <c r="Q1401" t="str">
        <f t="shared" si="42"/>
        <v/>
      </c>
      <c r="R1401">
        <f t="shared" si="43"/>
        <v>0</v>
      </c>
    </row>
  </sheetData>
  <autoFilter ref="A1:R14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3003-09BD-407D-900C-C82E85AFE67B}">
  <dimension ref="A1:T25"/>
  <sheetViews>
    <sheetView zoomScale="70" workbookViewId="0">
      <selection activeCell="F8" sqref="F8"/>
    </sheetView>
  </sheetViews>
  <sheetFormatPr defaultRowHeight="14"/>
  <cols>
    <col min="1" max="1" width="25" customWidth="1"/>
    <col min="2" max="2" width="12.33203125" customWidth="1"/>
    <col min="3" max="3" width="13.1640625" customWidth="1"/>
    <col min="6" max="6" width="22.4140625" customWidth="1"/>
    <col min="7" max="7" width="11.1640625" customWidth="1"/>
    <col min="8" max="8" width="12.08203125" customWidth="1"/>
    <col min="11" max="11" width="16.1640625" customWidth="1"/>
    <col min="12" max="12" width="13.6640625" customWidth="1"/>
    <col min="13" max="13" width="12.5" customWidth="1"/>
    <col min="16" max="16" width="12.75" customWidth="1"/>
    <col min="17" max="17" width="12.83203125" customWidth="1"/>
  </cols>
  <sheetData>
    <row r="1" spans="1:3" ht="23.5">
      <c r="A1" s="3" t="s">
        <v>1434</v>
      </c>
    </row>
    <row r="3" spans="1:3">
      <c r="A3" s="1" t="s">
        <v>1435</v>
      </c>
      <c r="B3" s="1" t="s">
        <v>17</v>
      </c>
      <c r="C3" s="1" t="s">
        <v>723</v>
      </c>
    </row>
    <row r="4" spans="1:3">
      <c r="A4" s="7" t="s">
        <v>1436</v>
      </c>
      <c r="B4" s="8">
        <f>COUNTIFS(experiment_data!C2:C1409,"Control")</f>
        <v>690</v>
      </c>
      <c r="C4" s="8">
        <f>COUNTIFS(experiment_data!C2:C1409,"Treatment")</f>
        <v>710</v>
      </c>
    </row>
    <row r="5" spans="1:3" ht="19.5" customHeight="1">
      <c r="A5" s="7" t="s">
        <v>1437</v>
      </c>
      <c r="B5" s="9">
        <f>COUNTIFS(experiment_data!C2:C1409,"Control",experiment_data!H2:H1409,1)/[1]experiment_summary!B4</f>
        <v>0.63623188405797104</v>
      </c>
      <c r="C5" s="9">
        <f>COUNTIFS(experiment_data!C:C,"Treatment",experiment_data!H:H,1)/C4</f>
        <v>0.72394366197183102</v>
      </c>
    </row>
    <row r="6" spans="1:3" ht="20.5" customHeight="1">
      <c r="A6" s="7" t="s">
        <v>1438</v>
      </c>
      <c r="B6" s="9">
        <f>COUNTIFS(experiment_data!C:C,"Control",experiment_data!I:I,1)/B4</f>
        <v>0.25072463768115943</v>
      </c>
      <c r="C6" s="9">
        <f>COUNTIFS(experiment_data!C:C,"Treatment",experiment_data!I:I,1)/C4</f>
        <v>0.29014084507042254</v>
      </c>
    </row>
    <row r="7" spans="1:3" ht="24" customHeight="1">
      <c r="A7" s="7" t="s">
        <v>1439</v>
      </c>
      <c r="B7" s="9">
        <f>COUNTIFS(experiment_data!C:C,"Control",experiment_data!J:J,1)/B4</f>
        <v>0.15652173913043479</v>
      </c>
      <c r="C7" s="9">
        <f>COUNTIFS(experiment_data!C:C,"Treatment",experiment_data!J:J,1)/C4</f>
        <v>0.21126760563380281</v>
      </c>
    </row>
    <row r="8" spans="1:3" ht="22.5" customHeight="1">
      <c r="A8" s="7" t="s">
        <v>1440</v>
      </c>
      <c r="B8" s="9">
        <f>COUNTIFS(experiment_data!C:C,"Control",experiment_data!K:K,1)/B4</f>
        <v>3.1884057971014491E-2</v>
      </c>
      <c r="C8" s="9">
        <f>COUNTIFS(experiment_data!C:C,"Treatment",experiment_data!K:K,1)/C4</f>
        <v>7.0422535211267609E-2</v>
      </c>
    </row>
    <row r="9" spans="1:3" ht="25" customHeight="1">
      <c r="A9" s="7" t="s">
        <v>1441</v>
      </c>
      <c r="B9" s="10">
        <f>SUMIF(experiment_data!C:C,"Control",experiment_data!L:L)/B4</f>
        <v>51.974318840579706</v>
      </c>
      <c r="C9" s="10">
        <f>SUMIF(experiment_data!C:C,"Treatment",experiment_data!L:L)/C4</f>
        <v>54.254521126760551</v>
      </c>
    </row>
    <row r="10" spans="1:3" ht="28.5" customHeight="1">
      <c r="A10" s="7" t="s">
        <v>1442</v>
      </c>
      <c r="B10" s="10">
        <f>SUMIF(experiment_data!C:C,"Control",experiment_data!L:L)/COUNTIFS(experiment_data!C:C,"Control",experiment_data!K:K,1)</f>
        <v>1630.1036363636363</v>
      </c>
      <c r="C10" s="10">
        <f>SUMIF(experiment_data!C:C,"Treatment",experiment_data!L:L)/COUNTIFS(experiment_data!C:C,"Treatment",experiment_data!K:K,1)</f>
        <v>770.41419999999982</v>
      </c>
    </row>
    <row r="11" spans="1:3" ht="15.5" customHeight="1">
      <c r="A11" s="7" t="s">
        <v>1443</v>
      </c>
      <c r="B11" s="9">
        <f>COUNTIFS(experiment_data!C:C,"Control",experiment_data!N:N,1)/B4</f>
        <v>0</v>
      </c>
      <c r="C11" s="9">
        <f>COUNTIFS(experiment_data!C:C,"Treatment",experiment_data!N:N,1)/C4</f>
        <v>4.2253521126760559E-3</v>
      </c>
    </row>
    <row r="12" spans="1:3" ht="21" customHeight="1">
      <c r="A12" s="7" t="s">
        <v>1444</v>
      </c>
      <c r="B12" s="9">
        <f>COUNTIFS(experiment_data!C:C,"Control",experiment_data!M:M,"&gt;"&amp;0)/B4</f>
        <v>0.14782608695652175</v>
      </c>
      <c r="C12" s="9">
        <f>COUNTIFS(experiment_data!C:C,"Treatment",experiment_data!M:M,"&gt;"&amp;0)/C4</f>
        <v>0.24788732394366197</v>
      </c>
    </row>
    <row r="13" spans="1:3" ht="19.5" customHeight="1">
      <c r="A13" s="7" t="s">
        <v>1445</v>
      </c>
      <c r="B13" s="10">
        <f>AVERAGEIF(experiment_data!C:C,"Control",experiment_data!P:P)</f>
        <v>57.029532163742729</v>
      </c>
      <c r="C13" s="10">
        <f>AVERAGEIF(experiment_data!C:C,"Treatment",experiment_data!P:P)</f>
        <v>62.940028490028489</v>
      </c>
    </row>
    <row r="14" spans="1:3" ht="18.5" customHeight="1">
      <c r="A14" s="7" t="s">
        <v>1446</v>
      </c>
      <c r="B14" s="10">
        <f>AVERAGEIFS(experiment_data!O:O,experiment_data!C:C,"Control",experiment_data!K:K,1)</f>
        <v>8.8636363636363633</v>
      </c>
      <c r="C14" s="10">
        <f>AVERAGEIFS(experiment_data!O:O,experiment_data!C:C,"Treatment",experiment_data!K:K,1)</f>
        <v>6.4</v>
      </c>
    </row>
    <row r="17" spans="1:20" ht="23.5">
      <c r="A17" s="3" t="s">
        <v>1447</v>
      </c>
    </row>
    <row r="18" spans="1:20" ht="23.5">
      <c r="A18" s="3" t="s">
        <v>1448</v>
      </c>
      <c r="F18" s="3" t="s">
        <v>1449</v>
      </c>
      <c r="G18" s="3"/>
      <c r="H18" s="3"/>
      <c r="I18" s="3"/>
      <c r="J18" s="3"/>
      <c r="K18" s="3" t="s">
        <v>1450</v>
      </c>
      <c r="M18" s="3"/>
      <c r="N18" s="3"/>
      <c r="O18" s="3"/>
      <c r="P18" s="3" t="s">
        <v>1454</v>
      </c>
      <c r="Q18" s="3"/>
      <c r="R18" s="3"/>
      <c r="S18" s="3"/>
      <c r="T18" s="3"/>
    </row>
    <row r="20" spans="1:20" ht="28">
      <c r="A20" s="1" t="s">
        <v>1451</v>
      </c>
      <c r="B20" s="1" t="s">
        <v>17</v>
      </c>
      <c r="C20" s="1" t="s">
        <v>723</v>
      </c>
      <c r="F20" s="1" t="s">
        <v>1452</v>
      </c>
      <c r="G20" s="1" t="s">
        <v>17</v>
      </c>
      <c r="H20" s="1" t="s">
        <v>723</v>
      </c>
      <c r="K20" s="1" t="s">
        <v>1453</v>
      </c>
      <c r="L20" s="1" t="s">
        <v>17</v>
      </c>
      <c r="M20" s="1" t="s">
        <v>723</v>
      </c>
      <c r="P20" s="1" t="s">
        <v>1455</v>
      </c>
      <c r="Q20" s="1" t="s">
        <v>17</v>
      </c>
      <c r="R20" s="1" t="s">
        <v>723</v>
      </c>
    </row>
    <row r="21" spans="1:20">
      <c r="A21" s="8" t="s">
        <v>18</v>
      </c>
      <c r="B21" s="9">
        <f>COUNTIFS(experiment_data!C:C,"Control",experiment_data!D:D,"North",experiment_data!K:K,1)/COUNTIFS(experiment_data!C:C,"Control",experiment_data!D:D,"North")</f>
        <v>3.482587064676617E-2</v>
      </c>
      <c r="C21" s="9">
        <f>COUNTIFS(experiment_data!C:C,"Treatment",experiment_data!D:D,"North",experiment_data!K:K,1)/COUNTIFS(experiment_data!C:C,"Treatment",experiment_data!D:D,"North")</f>
        <v>8.8888888888888892E-2</v>
      </c>
      <c r="F21" s="8" t="s">
        <v>24</v>
      </c>
      <c r="G21" s="9">
        <f>COUNTIFS(experiment_data!C:C,"Control",experiment_data!E:E,"Mobile",experiment_data!K:K,1)/COUNTIFS(experiment_data!C:C,"Control",experiment_data!E:E,"Mobile")</f>
        <v>2.5821596244131457E-2</v>
      </c>
      <c r="H21" s="9">
        <f>COUNTIFS(experiment_data!C:C,"Treatment",experiment_data!E:E,"Mobile",experiment_data!K:K,1)/COUNTIFS(experiment_data!C:C,"Treatment",experiment_data!E:E,"Mobile")</f>
        <v>7.407407407407407E-2</v>
      </c>
      <c r="K21" s="8" t="s">
        <v>25</v>
      </c>
      <c r="L21" s="9">
        <f>COUNTIFS(experiment_data!C:C,"Control",experiment_data!F:F,"Organic",experiment_data!K:K,1)/COUNTIFS(experiment_data!C:C,"Control",experiment_data!F:F,"Organic")</f>
        <v>2.032520325203252E-2</v>
      </c>
      <c r="M21" s="9">
        <f>COUNTIFS(experiment_data!C:C,"Treatment",experiment_data!F:F,"Organic",experiment_data!K:K,1)/COUNTIFS(experiment_data!C:C,"Treatment",experiment_data!F:F,"Organic")</f>
        <v>6.3291139240506333E-2</v>
      </c>
      <c r="P21" s="8" t="s">
        <v>26</v>
      </c>
      <c r="Q21" s="9">
        <f>COUNTIFS(experiment_data!C:C,"Control",experiment_data!G:G,"Free",experiment_data!K:K,1)/COUNTIFS(experiment_data!C:C,"Control",experiment_data!G:G,"Free")</f>
        <v>3.0555555555555555E-2</v>
      </c>
      <c r="R21" s="11">
        <f>COUNTIFS(experiment_data!C:C,"Treatment",experiment_data!G:G,"Free",experiment_data!K:K,1)/COUNTIFS(experiment_data!C:C,"Treatment",experiment_data!G:G,"Free")</f>
        <v>9.2896174863387984E-2</v>
      </c>
    </row>
    <row r="22" spans="1:20">
      <c r="A22" s="8" t="s">
        <v>32</v>
      </c>
      <c r="B22" s="9">
        <f>COUNTIFS(experiment_data!C:C,"Control",experiment_data!D:D,"South",experiment_data!K:K,1)/COUNTIFS(experiment_data!C:C,"Control",experiment_data!D:D,"South")</f>
        <v>3.2608695652173912E-2</v>
      </c>
      <c r="C22" s="9">
        <f>COUNTIFS(experiment_data!C:C,"Treatment",experiment_data!D:D,"South",experiment_data!K:K,1)/COUNTIFS(experiment_data!C:C,"Treatment",experiment_data!D:D,"South")</f>
        <v>7.650273224043716E-2</v>
      </c>
      <c r="F22" s="8" t="s">
        <v>19</v>
      </c>
      <c r="G22" s="9">
        <f>COUNTIFS(experiment_data!C:C,"Control",experiment_data!E:E,"Desktop",experiment_data!K:K,1)/COUNTIFS(experiment_data!C:C,"Control",experiment_data!E:E,"Desktop")</f>
        <v>4.4999999999999998E-2</v>
      </c>
      <c r="H22" s="9">
        <f>COUNTIFS(experiment_data!C:C,"Treatment",experiment_data!E:E,"Desktop",experiment_data!K:K,1)/COUNTIFS(experiment_data!C:C,"Treatment",experiment_data!E:E,"Desktop")</f>
        <v>6.5727699530516437E-2</v>
      </c>
      <c r="K22" s="8" t="s">
        <v>29</v>
      </c>
      <c r="L22" s="9">
        <f>COUNTIFS(experiment_data!C:C,"Control",experiment_data!F:F,"Paid Search",experiment_data!K:K,1)/COUNTIFS(experiment_data!C:C,"Control",experiment_data!F:F,"Paid Search")</f>
        <v>1.2903225806451613E-2</v>
      </c>
      <c r="M22" s="9">
        <f>COUNTIFS(experiment_data!C:C,"Treatment",experiment_data!F:F,"Paid Search",experiment_data!K:K,1)/COUNTIFS(experiment_data!C:C,"Treatment",experiment_data!F:F,"Paid Search")</f>
        <v>6.25E-2</v>
      </c>
      <c r="P22" s="8" t="s">
        <v>21</v>
      </c>
      <c r="Q22" s="9">
        <f>COUNTIFS(experiment_data!C:C,"Control",experiment_data!G:G,"Basic",experiment_data!K:K,1)/COUNTIFS(experiment_data!C:C,"Control",experiment_data!G:G,"Basic")</f>
        <v>3.6199095022624438E-2</v>
      </c>
      <c r="R22" s="9">
        <f>COUNTIFS(experiment_data!C:C,"Treatment",experiment_data!G:G,"Basic",experiment_data!K:K,1)/COUNTIFS(experiment_data!C:C,"Treatment",experiment_data!G:G,"Basic")</f>
        <v>3.8793103448275863E-2</v>
      </c>
    </row>
    <row r="23" spans="1:20">
      <c r="A23" s="8" t="s">
        <v>28</v>
      </c>
      <c r="B23" s="9">
        <f>COUNTIFS(experiment_data!C:C,"Control",experiment_data!D:D,"East",experiment_data!K:K,1)/COUNTIFS(experiment_data!C:C,"Control",experiment_data!D:D,"East")</f>
        <v>2.5477707006369428E-2</v>
      </c>
      <c r="C23" s="9">
        <f>COUNTIFS(experiment_data!C:C,"Treatment",experiment_data!D:D,"East",experiment_data!K:K,1)/COUNTIFS(experiment_data!C:C,"Treatment",experiment_data!D:D,"East")</f>
        <v>6.4705882352941183E-2</v>
      </c>
      <c r="F23" s="8" t="s">
        <v>34</v>
      </c>
      <c r="G23" s="9">
        <f>COUNTIFS(experiment_data!C:C,"Control",experiment_data!E:E,"Tablet",experiment_data!K:K,1)/COUNTIFS(experiment_data!C:C,"Control",experiment_data!E:E,"Tablet")</f>
        <v>1.8181818181818181E-2</v>
      </c>
      <c r="H23" s="9">
        <f>COUNTIFS(experiment_data!C:C,"Treatment",experiment_data!E:E,"Tablet",experiment_data!K:K,1)/COUNTIFS(experiment_data!C:C,"Treatment",experiment_data!E:E,"Tablet")</f>
        <v>7.1428571428571425E-2</v>
      </c>
      <c r="K23" s="8" t="s">
        <v>41</v>
      </c>
      <c r="L23" s="9">
        <f>COUNTIFS(experiment_data!C:C,"Control",experiment_data!F:F,"Social",experiment_data!K:K,1)/COUNTIFS(experiment_data!C:C,"Control",experiment_data!F:F,"Social")</f>
        <v>7.7519379844961239E-2</v>
      </c>
      <c r="M23" s="9">
        <f>COUNTIFS(experiment_data!C:C,"Treatment",experiment_data!F:F,"Social",experiment_data!K:K,1)/COUNTIFS(experiment_data!C:C,"Treatment",experiment_data!F:F,"Social")</f>
        <v>6.0606060606060608E-2</v>
      </c>
      <c r="P23" s="8" t="s">
        <v>30</v>
      </c>
      <c r="Q23" s="9">
        <f>COUNTIFS(experiment_data!C:C,"Control",experiment_data!G:G,"Premium",experiment_data!K:K,1)/COUNTIFS(experiment_data!C:C,"Control",experiment_data!G:G,"Premium")</f>
        <v>2.7522935779816515E-2</v>
      </c>
      <c r="R23" s="9">
        <f>COUNTIFS(experiment_data!C:C,"Treatment",experiment_data!G:G,"Premium",experiment_data!K:K,1)/COUNTIFS(experiment_data!C:C,"Treatment",experiment_data!G:G,"Premium")</f>
        <v>6.25E-2</v>
      </c>
    </row>
    <row r="24" spans="1:20">
      <c r="A24" s="8" t="s">
        <v>23</v>
      </c>
      <c r="B24" s="9">
        <f>COUNTIFS(experiment_data!C:C,"Control",experiment_data!D:D,"West",experiment_data!K:K,1)/COUNTIFS(experiment_data!C:C,"Control",experiment_data!D:D,"West")</f>
        <v>3.3783783783783786E-2</v>
      </c>
      <c r="C24" s="9">
        <f>COUNTIFS(experiment_data!C:C,"Treatment",experiment_data!D:D,"West",experiment_data!K:K,1)/COUNTIFS(experiment_data!C:C,"Treatment",experiment_data!D:D,"West")</f>
        <v>5.0847457627118647E-2</v>
      </c>
      <c r="K24" s="8" t="s">
        <v>39</v>
      </c>
      <c r="L24" s="9">
        <f>COUNTIFS(experiment_data!C:C,"Control",experiment_data!F:F,"Referral",experiment_data!K:K,1)/COUNTIFS(experiment_data!C:C,"Control",experiment_data!F:F,"Referral")</f>
        <v>2.4691358024691357E-2</v>
      </c>
      <c r="M24" s="9">
        <f>COUNTIFS(experiment_data!C:C,"Treatment",experiment_data!F:F,"Referral",experiment_data!K:K,1)/COUNTIFS(experiment_data!C:C,"Treatment",experiment_data!F:F,"Referral")</f>
        <v>0.10989010989010989</v>
      </c>
    </row>
    <row r="25" spans="1:20">
      <c r="K25" s="8" t="s">
        <v>20</v>
      </c>
      <c r="L25" s="9">
        <f>COUNTIFS(experiment_data!C:C,"Control",experiment_data!F:F,"Email",experiment_data!K:K,1)/COUNTIFS(experiment_data!C:C,"Control",experiment_data!F:F,"Email")</f>
        <v>2.7397260273972601E-2</v>
      </c>
      <c r="M25" s="9">
        <f>COUNTIFS(experiment_data!C:C,"Treatment",experiment_data!F:F,"Email",experiment_data!K:K,1)/COUNTIFS(experiment_data!C:C,"Treatment",experiment_data!F:F,"Email")</f>
        <v>7.1428571428571425E-2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4924-F6C2-4BF3-B704-2F4EB30B0103}">
  <dimension ref="A1:C17"/>
  <sheetViews>
    <sheetView workbookViewId="0">
      <selection activeCell="C5" sqref="C5"/>
    </sheetView>
  </sheetViews>
  <sheetFormatPr defaultRowHeight="14"/>
  <cols>
    <col min="1" max="1" width="26.6640625" customWidth="1"/>
    <col min="2" max="2" width="22.58203125" customWidth="1"/>
    <col min="3" max="3" width="27" customWidth="1"/>
  </cols>
  <sheetData>
    <row r="1" spans="1:3" ht="20">
      <c r="A1" s="6" t="s">
        <v>1469</v>
      </c>
    </row>
    <row r="2" spans="1:3" ht="14.5" thickBot="1">
      <c r="A2" s="4"/>
      <c r="B2" s="4"/>
      <c r="C2" s="4"/>
    </row>
    <row r="5" spans="1:3">
      <c r="A5" t="s">
        <v>1461</v>
      </c>
    </row>
    <row r="6" spans="1:3" ht="14.5" thickBot="1"/>
    <row r="7" spans="1:3" ht="14.5">
      <c r="A7" s="5"/>
      <c r="B7" s="5" t="s">
        <v>1456</v>
      </c>
      <c r="C7" s="5" t="s">
        <v>1457</v>
      </c>
    </row>
    <row r="8" spans="1:3">
      <c r="A8" t="s">
        <v>1458</v>
      </c>
      <c r="B8">
        <v>3.1884057971014491E-2</v>
      </c>
      <c r="C8">
        <v>7.0422535211267609E-2</v>
      </c>
    </row>
    <row r="9" spans="1:3">
      <c r="A9" t="s">
        <v>1462</v>
      </c>
      <c r="B9">
        <v>3.0912265202667173E-2</v>
      </c>
      <c r="C9">
        <v>6.5555533482985359E-2</v>
      </c>
    </row>
    <row r="10" spans="1:3">
      <c r="A10" t="s">
        <v>1459</v>
      </c>
      <c r="B10">
        <v>690</v>
      </c>
      <c r="C10">
        <v>710</v>
      </c>
    </row>
    <row r="11" spans="1:3">
      <c r="A11" t="s">
        <v>1460</v>
      </c>
      <c r="B11">
        <v>0</v>
      </c>
    </row>
    <row r="12" spans="1:3">
      <c r="A12" t="s">
        <v>1463</v>
      </c>
      <c r="B12">
        <v>1259</v>
      </c>
    </row>
    <row r="13" spans="1:3">
      <c r="A13" t="s">
        <v>1464</v>
      </c>
      <c r="B13">
        <v>-3.2909778014047801</v>
      </c>
    </row>
    <row r="14" spans="1:3">
      <c r="A14" t="s">
        <v>1465</v>
      </c>
      <c r="B14">
        <v>5.1303097548490817E-4</v>
      </c>
    </row>
    <row r="15" spans="1:3">
      <c r="A15" t="s">
        <v>1466</v>
      </c>
      <c r="B15">
        <v>1.6460648245752227</v>
      </c>
    </row>
    <row r="16" spans="1:3">
      <c r="A16" t="s">
        <v>1467</v>
      </c>
      <c r="B16">
        <v>1.0260619509698163E-3</v>
      </c>
    </row>
    <row r="17" spans="1:3" ht="14.5" thickBot="1">
      <c r="A17" s="4" t="s">
        <v>1468</v>
      </c>
      <c r="B17" s="4">
        <v>1.9618500168681485</v>
      </c>
      <c r="C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experiment_data</vt:lpstr>
      <vt:lpstr>summary</vt:lpstr>
      <vt:lpstr>hypothesis_test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Mitali Kalburgi</cp:lastModifiedBy>
  <dcterms:modified xsi:type="dcterms:W3CDTF">2026-06-23T11:43:00Z</dcterms:modified>
</cp:coreProperties>
</file>